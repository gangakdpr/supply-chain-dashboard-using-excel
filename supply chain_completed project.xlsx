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GANGA A S\OneDrive\Desktop\"/>
    </mc:Choice>
  </mc:AlternateContent>
  <xr:revisionPtr revIDLastSave="0" documentId="8_{6E6901D7-6460-432B-B3FE-970BE0052C8D}" xr6:coauthVersionLast="47" xr6:coauthVersionMax="47" xr10:uidLastSave="{00000000-0000-0000-0000-000000000000}"/>
  <bookViews>
    <workbookView xWindow="-108" yWindow="-108" windowWidth="23256" windowHeight="12456" activeTab="3" xr2:uid="{42CD9C0C-DB16-479E-935F-215649B21067}"/>
  </bookViews>
  <sheets>
    <sheet name="supply_chain_data" sheetId="1" r:id="rId1"/>
    <sheet name="cleaned data" sheetId="2" r:id="rId2"/>
    <sheet name="Analysis" sheetId="5" r:id="rId3"/>
    <sheet name="Dashboard" sheetId="4" r:id="rId4"/>
  </sheets>
  <definedNames>
    <definedName name="Slicer_Product_type">#N/A</definedName>
    <definedName name="Slicer_Supplier_name">#N/A</definedName>
    <definedName name="Slicer_Transportation_modes">#N/A</definedName>
  </definedNames>
  <calcPr calcId="0"/>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 i="4" l="1"/>
  <c r="O4" i="4"/>
  <c r="B4" i="4"/>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A12" i="2"/>
  <c r="AA13" i="2"/>
  <c r="AA24" i="2"/>
  <c r="AA25" i="2"/>
  <c r="AA36" i="2"/>
  <c r="AA37" i="2"/>
  <c r="AA48" i="2"/>
  <c r="AA49" i="2"/>
  <c r="AA60" i="2"/>
  <c r="AA61" i="2"/>
  <c r="AA72" i="2"/>
  <c r="AA73" i="2"/>
  <c r="AA84" i="2"/>
  <c r="AA85" i="2"/>
  <c r="AA97" i="2"/>
  <c r="Z23" i="2"/>
  <c r="AA23" i="2" s="1"/>
  <c r="Z28" i="2"/>
  <c r="AA28" i="2" s="1"/>
  <c r="Z47" i="2"/>
  <c r="AA47" i="2" s="1"/>
  <c r="Z52" i="2"/>
  <c r="AA52" i="2" s="1"/>
  <c r="Z71" i="2"/>
  <c r="AA71" i="2" s="1"/>
  <c r="Z76" i="2"/>
  <c r="AA76" i="2" s="1"/>
  <c r="Z89" i="2"/>
  <c r="AA89" i="2" s="1"/>
  <c r="Y2" i="2"/>
  <c r="Z2" i="2" s="1"/>
  <c r="AA2" i="2" s="1"/>
  <c r="Y3" i="2"/>
  <c r="Z3" i="2" s="1"/>
  <c r="AA3" i="2" s="1"/>
  <c r="Y4" i="2"/>
  <c r="Z4" i="2" s="1"/>
  <c r="AA4" i="2" s="1"/>
  <c r="Y5" i="2"/>
  <c r="Z5" i="2" s="1"/>
  <c r="AA5" i="2" s="1"/>
  <c r="Y6" i="2"/>
  <c r="Z6" i="2" s="1"/>
  <c r="AA6" i="2" s="1"/>
  <c r="Y7" i="2"/>
  <c r="Z7" i="2" s="1"/>
  <c r="AA7" i="2" s="1"/>
  <c r="Y8" i="2"/>
  <c r="Z8" i="2" s="1"/>
  <c r="AA8" i="2" s="1"/>
  <c r="Y9" i="2"/>
  <c r="Z9" i="2" s="1"/>
  <c r="AA9" i="2" s="1"/>
  <c r="Y10" i="2"/>
  <c r="Z10" i="2" s="1"/>
  <c r="AA10" i="2" s="1"/>
  <c r="Y11" i="2"/>
  <c r="Z11" i="2" s="1"/>
  <c r="AA11" i="2" s="1"/>
  <c r="Y12" i="2"/>
  <c r="Z12" i="2" s="1"/>
  <c r="Y13" i="2"/>
  <c r="Z13" i="2" s="1"/>
  <c r="Y14" i="2"/>
  <c r="Z14" i="2" s="1"/>
  <c r="AA14" i="2" s="1"/>
  <c r="Y15" i="2"/>
  <c r="Z15" i="2" s="1"/>
  <c r="AA15" i="2" s="1"/>
  <c r="Y16" i="2"/>
  <c r="Z16" i="2" s="1"/>
  <c r="AA16" i="2" s="1"/>
  <c r="Y17" i="2"/>
  <c r="Z17" i="2" s="1"/>
  <c r="AA17" i="2" s="1"/>
  <c r="Y18" i="2"/>
  <c r="Z18" i="2" s="1"/>
  <c r="AA18" i="2" s="1"/>
  <c r="Y19" i="2"/>
  <c r="Z19" i="2" s="1"/>
  <c r="AA19" i="2" s="1"/>
  <c r="Y20" i="2"/>
  <c r="Z20" i="2" s="1"/>
  <c r="AA20" i="2" s="1"/>
  <c r="Y21" i="2"/>
  <c r="Z21" i="2" s="1"/>
  <c r="AA21" i="2" s="1"/>
  <c r="Y22" i="2"/>
  <c r="Z22" i="2" s="1"/>
  <c r="AA22" i="2" s="1"/>
  <c r="Y23" i="2"/>
  <c r="Y24" i="2"/>
  <c r="Z24" i="2" s="1"/>
  <c r="Y25" i="2"/>
  <c r="Z25" i="2" s="1"/>
  <c r="Y26" i="2"/>
  <c r="Z26" i="2" s="1"/>
  <c r="AA26" i="2" s="1"/>
  <c r="Y27" i="2"/>
  <c r="Z27" i="2" s="1"/>
  <c r="AA27" i="2" s="1"/>
  <c r="Y28" i="2"/>
  <c r="Y29" i="2"/>
  <c r="Z29" i="2" s="1"/>
  <c r="AA29" i="2" s="1"/>
  <c r="Y30" i="2"/>
  <c r="Z30" i="2" s="1"/>
  <c r="AA30" i="2" s="1"/>
  <c r="Y31" i="2"/>
  <c r="Z31" i="2" s="1"/>
  <c r="AA31" i="2" s="1"/>
  <c r="Y32" i="2"/>
  <c r="Z32" i="2" s="1"/>
  <c r="AA32" i="2" s="1"/>
  <c r="Y33" i="2"/>
  <c r="Z33" i="2" s="1"/>
  <c r="AA33" i="2" s="1"/>
  <c r="Y34" i="2"/>
  <c r="Z34" i="2" s="1"/>
  <c r="AA34" i="2" s="1"/>
  <c r="Y35" i="2"/>
  <c r="Z35" i="2" s="1"/>
  <c r="AA35" i="2" s="1"/>
  <c r="Y36" i="2"/>
  <c r="Z36" i="2" s="1"/>
  <c r="Y37" i="2"/>
  <c r="Z37" i="2" s="1"/>
  <c r="Y38" i="2"/>
  <c r="Z38" i="2" s="1"/>
  <c r="AA38" i="2" s="1"/>
  <c r="Y39" i="2"/>
  <c r="Z39" i="2" s="1"/>
  <c r="AA39" i="2" s="1"/>
  <c r="Y40" i="2"/>
  <c r="Z40" i="2" s="1"/>
  <c r="AA40" i="2" s="1"/>
  <c r="Y41" i="2"/>
  <c r="Z41" i="2" s="1"/>
  <c r="AA41" i="2" s="1"/>
  <c r="Y42" i="2"/>
  <c r="Z42" i="2" s="1"/>
  <c r="AA42" i="2" s="1"/>
  <c r="Y43" i="2"/>
  <c r="Z43" i="2" s="1"/>
  <c r="AA43" i="2" s="1"/>
  <c r="Y44" i="2"/>
  <c r="Z44" i="2" s="1"/>
  <c r="AA44" i="2" s="1"/>
  <c r="Y45" i="2"/>
  <c r="Z45" i="2" s="1"/>
  <c r="AA45" i="2" s="1"/>
  <c r="Y46" i="2"/>
  <c r="Z46" i="2" s="1"/>
  <c r="AA46" i="2" s="1"/>
  <c r="Y47" i="2"/>
  <c r="Y48" i="2"/>
  <c r="Z48" i="2" s="1"/>
  <c r="Y49" i="2"/>
  <c r="Z49" i="2" s="1"/>
  <c r="Y50" i="2"/>
  <c r="Z50" i="2" s="1"/>
  <c r="AA50" i="2" s="1"/>
  <c r="Y51" i="2"/>
  <c r="Z51" i="2" s="1"/>
  <c r="AA51" i="2" s="1"/>
  <c r="Y52" i="2"/>
  <c r="Y53" i="2"/>
  <c r="Z53" i="2" s="1"/>
  <c r="AA53" i="2" s="1"/>
  <c r="Y54" i="2"/>
  <c r="Z54" i="2" s="1"/>
  <c r="AA54" i="2" s="1"/>
  <c r="Y55" i="2"/>
  <c r="Z55" i="2" s="1"/>
  <c r="AA55" i="2" s="1"/>
  <c r="Y56" i="2"/>
  <c r="Z56" i="2" s="1"/>
  <c r="AA56" i="2" s="1"/>
  <c r="Y57" i="2"/>
  <c r="Z57" i="2" s="1"/>
  <c r="AA57" i="2" s="1"/>
  <c r="Y58" i="2"/>
  <c r="Z58" i="2" s="1"/>
  <c r="AA58" i="2" s="1"/>
  <c r="Y59" i="2"/>
  <c r="Z59" i="2" s="1"/>
  <c r="AA59" i="2" s="1"/>
  <c r="Y60" i="2"/>
  <c r="Z60" i="2" s="1"/>
  <c r="Y61" i="2"/>
  <c r="Z61" i="2" s="1"/>
  <c r="Y62" i="2"/>
  <c r="Z62" i="2" s="1"/>
  <c r="AA62" i="2" s="1"/>
  <c r="Y63" i="2"/>
  <c r="Z63" i="2" s="1"/>
  <c r="AA63" i="2" s="1"/>
  <c r="Y64" i="2"/>
  <c r="Z64" i="2" s="1"/>
  <c r="AA64" i="2" s="1"/>
  <c r="Y65" i="2"/>
  <c r="Z65" i="2" s="1"/>
  <c r="AA65" i="2" s="1"/>
  <c r="Y66" i="2"/>
  <c r="Z66" i="2" s="1"/>
  <c r="AA66" i="2" s="1"/>
  <c r="Y67" i="2"/>
  <c r="Z67" i="2" s="1"/>
  <c r="AA67" i="2" s="1"/>
  <c r="Y68" i="2"/>
  <c r="Z68" i="2" s="1"/>
  <c r="AA68" i="2" s="1"/>
  <c r="Y69" i="2"/>
  <c r="Z69" i="2" s="1"/>
  <c r="AA69" i="2" s="1"/>
  <c r="Y70" i="2"/>
  <c r="Z70" i="2" s="1"/>
  <c r="AA70" i="2" s="1"/>
  <c r="Y71" i="2"/>
  <c r="Y72" i="2"/>
  <c r="Z72" i="2" s="1"/>
  <c r="Y73" i="2"/>
  <c r="Z73" i="2" s="1"/>
  <c r="Y74" i="2"/>
  <c r="Z74" i="2" s="1"/>
  <c r="AA74" i="2" s="1"/>
  <c r="Y75" i="2"/>
  <c r="Z75" i="2" s="1"/>
  <c r="AA75" i="2" s="1"/>
  <c r="Y76" i="2"/>
  <c r="Y77" i="2"/>
  <c r="Z77" i="2" s="1"/>
  <c r="AA77" i="2" s="1"/>
  <c r="Y78" i="2"/>
  <c r="Z78" i="2" s="1"/>
  <c r="AA78" i="2" s="1"/>
  <c r="Y79" i="2"/>
  <c r="Z79" i="2" s="1"/>
  <c r="AA79" i="2" s="1"/>
  <c r="Y80" i="2"/>
  <c r="Z80" i="2" s="1"/>
  <c r="AA80" i="2" s="1"/>
  <c r="Y81" i="2"/>
  <c r="Z81" i="2" s="1"/>
  <c r="AA81" i="2" s="1"/>
  <c r="Y82" i="2"/>
  <c r="Z82" i="2" s="1"/>
  <c r="AA82" i="2" s="1"/>
  <c r="Y83" i="2"/>
  <c r="Z83" i="2" s="1"/>
  <c r="AA83" i="2" s="1"/>
  <c r="Y84" i="2"/>
  <c r="Z84" i="2" s="1"/>
  <c r="Y85" i="2"/>
  <c r="Z85" i="2" s="1"/>
  <c r="Y86" i="2"/>
  <c r="Z86" i="2" s="1"/>
  <c r="AA86" i="2" s="1"/>
  <c r="Y87" i="2"/>
  <c r="Z87" i="2" s="1"/>
  <c r="AA87" i="2" s="1"/>
  <c r="Y88" i="2"/>
  <c r="Z88" i="2" s="1"/>
  <c r="AA88" i="2" s="1"/>
  <c r="Y89" i="2"/>
  <c r="Y90" i="2"/>
  <c r="Z90" i="2" s="1"/>
  <c r="AA90" i="2" s="1"/>
  <c r="Y91" i="2"/>
  <c r="Z91" i="2" s="1"/>
  <c r="AA91" i="2" s="1"/>
  <c r="Y92" i="2"/>
  <c r="Z92" i="2" s="1"/>
  <c r="AA92" i="2" s="1"/>
  <c r="Y93" i="2"/>
  <c r="Z93" i="2" s="1"/>
  <c r="AA93" i="2" s="1"/>
  <c r="Y94" i="2"/>
  <c r="Z94" i="2" s="1"/>
  <c r="AA94" i="2" s="1"/>
  <c r="Y95" i="2"/>
  <c r="Z95" i="2" s="1"/>
  <c r="AA95" i="2" s="1"/>
  <c r="Y96" i="2"/>
  <c r="Z96" i="2" s="1"/>
  <c r="AA96" i="2" s="1"/>
  <c r="Y97" i="2"/>
  <c r="Z97" i="2" s="1"/>
  <c r="Y98" i="2"/>
  <c r="Z98" i="2" s="1"/>
  <c r="AA98" i="2" s="1"/>
  <c r="Y99" i="2"/>
  <c r="Z99" i="2" s="1"/>
  <c r="AA99" i="2" s="1"/>
  <c r="Y100" i="2"/>
  <c r="Z100" i="2" s="1"/>
  <c r="AA100" i="2" s="1"/>
  <c r="Y101" i="2"/>
  <c r="Z101" i="2" s="1"/>
  <c r="AA101" i="2" s="1"/>
</calcChain>
</file>

<file path=xl/sharedStrings.xml><?xml version="1.0" encoding="utf-8"?>
<sst xmlns="http://schemas.openxmlformats.org/spreadsheetml/2006/main" count="1886" uniqueCount="172">
  <si>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</si>
  <si>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</si>
  <si>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</si>
  <si>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</si>
  <si>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</si>
  <si>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</si>
  <si>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</si>
  <si>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</si>
  <si>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</si>
  <si>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</si>
  <si>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</si>
  <si>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</si>
  <si>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</si>
  <si>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</si>
  <si>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</si>
  <si>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</si>
  <si>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</si>
  <si>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</si>
  <si>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</si>
  <si>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</si>
  <si>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</si>
  <si>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</si>
  <si>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</si>
  <si>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</si>
  <si>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</si>
  <si>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</si>
  <si>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</si>
  <si>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</si>
  <si>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</si>
  <si>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</si>
  <si>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</si>
  <si>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</si>
  <si>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</si>
  <si>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</si>
  <si>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</si>
  <si>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</si>
  <si>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</si>
  <si>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</si>
  <si>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</si>
  <si>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</si>
  <si>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</si>
  <si>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</si>
  <si>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</si>
  <si>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</si>
  <si>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</si>
  <si>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</si>
  <si>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</si>
  <si>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</si>
  <si>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</si>
  <si>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</si>
  <si>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</si>
  <si>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</si>
  <si>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</si>
  <si>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</si>
  <si>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</si>
  <si>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</si>
  <si>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</si>
  <si>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</si>
  <si>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</si>
  <si>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</si>
  <si>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</si>
  <si>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</si>
  <si>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</si>
  <si>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</si>
  <si>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</si>
  <si>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</si>
  <si>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</si>
  <si>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</si>
  <si>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</si>
  <si>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</si>
  <si>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</si>
  <si>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</si>
  <si>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</si>
  <si>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</si>
  <si>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</si>
  <si>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</si>
  <si>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</si>
  <si>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</si>
  <si>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</si>
  <si>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</si>
  <si>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</si>
  <si>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</si>
  <si>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</si>
  <si>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</si>
  <si>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</si>
  <si>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</si>
  <si>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</si>
  <si>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</si>
  <si>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</si>
  <si>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</si>
  <si>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</si>
  <si>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</si>
  <si>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</si>
  <si>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</si>
  <si>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</si>
  <si>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</si>
  <si>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</si>
  <si>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</si>
  <si>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</si>
  <si>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</si>
  <si>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</si>
  <si>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</si>
  <si>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</si>
  <si>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</si>
  <si>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</si>
  <si>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</si>
  <si>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</si>
  <si>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</si>
  <si>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</si>
  <si>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</si>
  <si>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</si>
  <si>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</si>
  <si>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</si>
  <si>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</si>
  <si>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</si>
  <si>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</si>
  <si>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</si>
  <si>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</si>
  <si>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</si>
  <si>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</si>
  <si>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</si>
  <si>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</si>
  <si>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</si>
  <si>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</si>
  <si>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</si>
  <si>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</si>
  <si>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</si>
  <si>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</si>
  <si>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</si>
  <si>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</si>
  <si>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</si>
  <si>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</si>
  <si>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</si>
  <si>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</si>
  <si>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</si>
  <si>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</si>
  <si>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</si>
  <si>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</si>
  <si>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</si>
  <si>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</si>
  <si>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</si>
  <si>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</si>
  <si>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</si>
  <si>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</si>
  <si>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</si>
  <si>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</si>
  <si>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</si>
  <si>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</si>
  <si>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</si>
  <si>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</si>
  <si>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</si>
  <si>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</si>
  <si>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</si>
  <si>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</si>
  <si>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Total cost</t>
  </si>
  <si>
    <t>Estimated profit</t>
  </si>
  <si>
    <t>profit margin</t>
  </si>
  <si>
    <t>Delivery Efficiency</t>
  </si>
  <si>
    <t>Row Labels</t>
  </si>
  <si>
    <t>Grand Total</t>
  </si>
  <si>
    <t>Sum of Revenue generated</t>
  </si>
  <si>
    <t>supplier name</t>
  </si>
  <si>
    <t>Average of Defect rates</t>
  </si>
  <si>
    <t>Supplier Defect Rates</t>
  </si>
  <si>
    <t>shipping performance</t>
  </si>
  <si>
    <t>Average of Shipping times</t>
  </si>
  <si>
    <t>Sum of Estimated profit</t>
  </si>
  <si>
    <t>Profitability</t>
  </si>
  <si>
    <t>Supply Chain Performance Dashboard</t>
  </si>
  <si>
    <t>Total Revenue</t>
  </si>
  <si>
    <t>Avg Defect Rate</t>
  </si>
  <si>
    <t>Avg Shipping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</si>
</sst>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name val="Calibri"/>
      <family val="2"/>
      <scheme val="minor"/>
    </font>
    <font>
      <b/>
      <sz val="14"/>
      <color theme="4"/>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2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0" borderId="0" xfId="0" applyFont="1"/>
    <xf numFmtId="0" fontId="18" fillId="0" borderId="0" xfId="0" applyFont="1"/>
    <xf numFmtId="0" fontId="19" fillId="0" borderId="0" xfId="0" applyFont="1"/>
    <xf numFmtId="0" fontId="22" fillId="0" borderId="0" xfId="0" applyFont="1" applyBorder="1"/>
    <xf numFmtId="0" fontId="0" fillId="0" borderId="0" xfId="0" applyBorder="1"/>
    <xf numFmtId="0" fontId="21" fillId="0" borderId="0" xfId="0" applyFont="1"/>
    <xf numFmtId="0" fontId="23" fillId="0" borderId="0" xfId="0" applyFont="1"/>
    <xf numFmtId="0" fontId="24" fillId="0" borderId="0" xfId="0" applyFont="1" applyAlignment="1">
      <alignment horizontal="center" vertical="top"/>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00365621256525"/>
          <c:y val="0.27122532790470966"/>
          <c:w val="0.34311575479868295"/>
          <c:h val="0.5730958184540178"/>
        </c:manualLayout>
      </c:layout>
      <c:barChart>
        <c:barDir val="bar"/>
        <c:grouping val="clustered"/>
        <c:varyColors val="0"/>
        <c:ser>
          <c:idx val="0"/>
          <c:order val="0"/>
          <c:tx>
            <c:strRef>
              <c:f>Analysis!$I$2</c:f>
              <c:strCache>
                <c:ptCount val="1"/>
                <c:pt idx="0">
                  <c:v>Total</c:v>
                </c:pt>
              </c:strCache>
            </c:strRef>
          </c:tx>
          <c:spPr>
            <a:solidFill>
              <a:schemeClr val="accent1"/>
            </a:solidFill>
            <a:ln>
              <a:noFill/>
            </a:ln>
            <a:effectLst/>
          </c:spPr>
          <c:invertIfNegative val="0"/>
          <c:cat>
            <c:strRef>
              <c:f>Analysis!$H$3:$H$7</c:f>
              <c:strCache>
                <c:ptCount val="4"/>
                <c:pt idx="0">
                  <c:v>Air</c:v>
                </c:pt>
                <c:pt idx="1">
                  <c:v>Rail</c:v>
                </c:pt>
                <c:pt idx="2">
                  <c:v>Road</c:v>
                </c:pt>
                <c:pt idx="3">
                  <c:v>Sea</c:v>
                </c:pt>
              </c:strCache>
            </c:strRef>
          </c:cat>
          <c:val>
            <c:numRef>
              <c:f>Analysis!$I$3:$I$7</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00-B460-4B98-BCBF-FF02CC2115A6}"/>
            </c:ext>
          </c:extLst>
        </c:ser>
        <c:dLbls>
          <c:showLegendKey val="0"/>
          <c:showVal val="0"/>
          <c:showCatName val="0"/>
          <c:showSerName val="0"/>
          <c:showPercent val="0"/>
          <c:showBubbleSize val="0"/>
        </c:dLbls>
        <c:gapWidth val="150"/>
        <c:axId val="1255861472"/>
        <c:axId val="1255856192"/>
      </c:barChart>
      <c:catAx>
        <c:axId val="125586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56192"/>
        <c:crosses val="autoZero"/>
        <c:auto val="1"/>
        <c:lblAlgn val="ctr"/>
        <c:lblOffset val="100"/>
        <c:noMultiLvlLbl val="0"/>
      </c:catAx>
      <c:valAx>
        <c:axId val="125585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6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Analysis!$C$26</c:f>
              <c:strCache>
                <c:ptCount val="1"/>
                <c:pt idx="0">
                  <c:v>Total</c:v>
                </c:pt>
              </c:strCache>
            </c:strRef>
          </c:tx>
          <c:spPr>
            <a:solidFill>
              <a:schemeClr val="accent1"/>
            </a:solidFill>
            <a:ln>
              <a:noFill/>
            </a:ln>
            <a:effectLst/>
            <a:sp3d/>
          </c:spPr>
          <c:invertIfNegative val="0"/>
          <c:cat>
            <c:strRef>
              <c:f>Analysis!$B$27:$B$30</c:f>
              <c:strCache>
                <c:ptCount val="3"/>
                <c:pt idx="0">
                  <c:v>cosmetics</c:v>
                </c:pt>
                <c:pt idx="1">
                  <c:v>haircare</c:v>
                </c:pt>
                <c:pt idx="2">
                  <c:v>skincare</c:v>
                </c:pt>
              </c:strCache>
            </c:strRef>
          </c:cat>
          <c:val>
            <c:numRef>
              <c:f>Analysis!$C$27:$C$30</c:f>
              <c:numCache>
                <c:formatCode>General</c:formatCode>
                <c:ptCount val="3"/>
                <c:pt idx="0">
                  <c:v>160244.3310839824</c:v>
                </c:pt>
                <c:pt idx="1">
                  <c:v>172606.95509456517</c:v>
                </c:pt>
                <c:pt idx="2">
                  <c:v>239472.04832811165</c:v>
                </c:pt>
              </c:numCache>
            </c:numRef>
          </c:val>
          <c:extLst>
            <c:ext xmlns:c16="http://schemas.microsoft.com/office/drawing/2014/chart" uri="{C3380CC4-5D6E-409C-BE32-E72D297353CC}">
              <c16:uniqueId val="{00000000-269D-4CEE-A0AF-497B73A4FFDC}"/>
            </c:ext>
          </c:extLst>
        </c:ser>
        <c:dLbls>
          <c:showLegendKey val="0"/>
          <c:showVal val="0"/>
          <c:showCatName val="0"/>
          <c:showSerName val="0"/>
          <c:showPercent val="0"/>
          <c:showBubbleSize val="0"/>
        </c:dLbls>
        <c:gapWidth val="150"/>
        <c:shape val="box"/>
        <c:axId val="1255884992"/>
        <c:axId val="1255901792"/>
        <c:axId val="0"/>
      </c:bar3DChart>
      <c:catAx>
        <c:axId val="1255884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01792"/>
        <c:crosses val="autoZero"/>
        <c:auto val="1"/>
        <c:lblAlgn val="ctr"/>
        <c:lblOffset val="100"/>
        <c:noMultiLvlLbl val="0"/>
      </c:catAx>
      <c:valAx>
        <c:axId val="125590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8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cosmetics</c:v>
                </c:pt>
                <c:pt idx="1">
                  <c:v>haircare</c:v>
                </c:pt>
                <c:pt idx="2">
                  <c:v>skincare</c:v>
                </c:pt>
              </c:strCache>
            </c:strRef>
          </c:cat>
          <c:val>
            <c:numRef>
              <c:f>Analysis!$B$4:$B$7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44A0-4AE6-A43F-601F987CFFDE}"/>
            </c:ext>
          </c:extLst>
        </c:ser>
        <c:dLbls>
          <c:showLegendKey val="0"/>
          <c:showVal val="0"/>
          <c:showCatName val="0"/>
          <c:showSerName val="0"/>
          <c:showPercent val="0"/>
          <c:showBubbleSize val="0"/>
        </c:dLbls>
        <c:gapWidth val="150"/>
        <c:overlap val="100"/>
        <c:axId val="1255896512"/>
        <c:axId val="1255914752"/>
      </c:barChart>
      <c:catAx>
        <c:axId val="12558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14752"/>
        <c:crosses val="autoZero"/>
        <c:auto val="1"/>
        <c:lblAlgn val="ctr"/>
        <c:lblOffset val="100"/>
        <c:noMultiLvlLbl val="0"/>
      </c:catAx>
      <c:valAx>
        <c:axId val="125591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Analysis!$E$2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Analysis!$D$3:$D$8</c:f>
              <c:strCache>
                <c:ptCount val="5"/>
                <c:pt idx="0">
                  <c:v>Supplier 1</c:v>
                </c:pt>
                <c:pt idx="1">
                  <c:v>Supplier 2</c:v>
                </c:pt>
                <c:pt idx="2">
                  <c:v>Supplier 3</c:v>
                </c:pt>
                <c:pt idx="3">
                  <c:v>Supplier 4</c:v>
                </c:pt>
                <c:pt idx="4">
                  <c:v>Supplier 5</c:v>
                </c:pt>
              </c:strCache>
            </c:strRef>
          </c:cat>
          <c:val>
            <c:numRef>
              <c:f>Analysis!$E$3:$E$8</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49CC-4B17-A070-C024EFD2453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cosmetics</c:v>
                </c:pt>
                <c:pt idx="1">
                  <c:v>haircare</c:v>
                </c:pt>
                <c:pt idx="2">
                  <c:v>skincare</c:v>
                </c:pt>
              </c:strCache>
            </c:strRef>
          </c:cat>
          <c:val>
            <c:numRef>
              <c:f>Analysis!$B$4:$B$7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A53C-457F-99E4-3C966FE67F3F}"/>
            </c:ext>
          </c:extLst>
        </c:ser>
        <c:dLbls>
          <c:showLegendKey val="0"/>
          <c:showVal val="0"/>
          <c:showCatName val="0"/>
          <c:showSerName val="0"/>
          <c:showPercent val="0"/>
          <c:showBubbleSize val="0"/>
        </c:dLbls>
        <c:gapWidth val="150"/>
        <c:overlap val="100"/>
        <c:axId val="1255896512"/>
        <c:axId val="1255914752"/>
      </c:barChart>
      <c:catAx>
        <c:axId val="12558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14752"/>
        <c:crosses val="autoZero"/>
        <c:auto val="1"/>
        <c:lblAlgn val="ctr"/>
        <c:lblOffset val="100"/>
        <c:noMultiLvlLbl val="0"/>
      </c:catAx>
      <c:valAx>
        <c:axId val="125591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project.xlsx]Analysis!PivotTable5</c:name>
    <c:fmtId val="9"/>
  </c:pivotSource>
  <c:chart>
    <c:title>
      <c:layout>
        <c:manualLayout>
          <c:xMode val="edge"/>
          <c:yMode val="edge"/>
          <c:x val="0.41666666666666669"/>
          <c:y val="0.114565760455263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40716582024879"/>
          <c:y val="0.30185524182088702"/>
          <c:w val="0.67519296774293747"/>
          <c:h val="0.34947172208569471"/>
        </c:manualLayout>
      </c:layout>
      <c:bar3DChart>
        <c:barDir val="col"/>
        <c:grouping val="percentStacked"/>
        <c:varyColors val="0"/>
        <c:ser>
          <c:idx val="0"/>
          <c:order val="0"/>
          <c:tx>
            <c:strRef>
              <c:f>Analysis!$E$2</c:f>
              <c:strCache>
                <c:ptCount val="1"/>
                <c:pt idx="0">
                  <c:v>Total</c:v>
                </c:pt>
              </c:strCache>
            </c:strRef>
          </c:tx>
          <c:spPr>
            <a:solidFill>
              <a:schemeClr val="accent1"/>
            </a:solidFill>
            <a:ln>
              <a:noFill/>
            </a:ln>
            <a:effectLst/>
            <a:sp3d/>
          </c:spPr>
          <c:invertIfNegative val="0"/>
          <c:cat>
            <c:strRef>
              <c:f>Analysis!$D$3:$D$8</c:f>
              <c:strCache>
                <c:ptCount val="5"/>
                <c:pt idx="0">
                  <c:v>Supplier 1</c:v>
                </c:pt>
                <c:pt idx="1">
                  <c:v>Supplier 2</c:v>
                </c:pt>
                <c:pt idx="2">
                  <c:v>Supplier 3</c:v>
                </c:pt>
                <c:pt idx="3">
                  <c:v>Supplier 4</c:v>
                </c:pt>
                <c:pt idx="4">
                  <c:v>Supplier 5</c:v>
                </c:pt>
              </c:strCache>
            </c:strRef>
          </c:cat>
          <c:val>
            <c:numRef>
              <c:f>Analysis!$E$3:$E$8</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43A7-4866-A935-F1975104729A}"/>
            </c:ext>
          </c:extLst>
        </c:ser>
        <c:dLbls>
          <c:showLegendKey val="0"/>
          <c:showVal val="0"/>
          <c:showCatName val="0"/>
          <c:showSerName val="0"/>
          <c:showPercent val="0"/>
          <c:showBubbleSize val="0"/>
        </c:dLbls>
        <c:gapWidth val="150"/>
        <c:shape val="box"/>
        <c:axId val="1185155136"/>
        <c:axId val="1185118176"/>
        <c:axId val="0"/>
      </c:bar3DChart>
      <c:catAx>
        <c:axId val="1185155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18176"/>
        <c:crosses val="autoZero"/>
        <c:auto val="1"/>
        <c:lblAlgn val="ctr"/>
        <c:lblOffset val="100"/>
        <c:noMultiLvlLbl val="0"/>
      </c:catAx>
      <c:valAx>
        <c:axId val="1185118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55136"/>
        <c:crosses val="autoZero"/>
        <c:crossBetween val="between"/>
      </c:valAx>
      <c:spPr>
        <a:noFill/>
        <a:ln>
          <a:noFill/>
        </a:ln>
        <a:effectLst/>
      </c:spPr>
    </c:plotArea>
    <c:legend>
      <c:legendPos val="r"/>
      <c:layout>
        <c:manualLayout>
          <c:xMode val="edge"/>
          <c:yMode val="edge"/>
          <c:x val="0.85556438892443354"/>
          <c:y val="0.58004819807555275"/>
          <c:w val="0.14443561107556649"/>
          <c:h val="8.70415463475751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chain_completed project.xlsx]Analysis!PivotTable6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00365621256525"/>
          <c:y val="0.27122532790470966"/>
          <c:w val="0.34311575479868295"/>
          <c:h val="0.5730958184540178"/>
        </c:manualLayout>
      </c:layout>
      <c:barChart>
        <c:barDir val="bar"/>
        <c:grouping val="clustered"/>
        <c:varyColors val="0"/>
        <c:ser>
          <c:idx val="0"/>
          <c:order val="0"/>
          <c:tx>
            <c:strRef>
              <c:f>Analysis!$I$2</c:f>
              <c:strCache>
                <c:ptCount val="1"/>
                <c:pt idx="0">
                  <c:v>Total</c:v>
                </c:pt>
              </c:strCache>
            </c:strRef>
          </c:tx>
          <c:spPr>
            <a:solidFill>
              <a:schemeClr val="accent1"/>
            </a:solidFill>
            <a:ln>
              <a:noFill/>
            </a:ln>
            <a:effectLst/>
          </c:spPr>
          <c:invertIfNegative val="0"/>
          <c:cat>
            <c:strRef>
              <c:f>Analysis!$H$3:$H$7</c:f>
              <c:strCache>
                <c:ptCount val="4"/>
                <c:pt idx="0">
                  <c:v>Air</c:v>
                </c:pt>
                <c:pt idx="1">
                  <c:v>Rail</c:v>
                </c:pt>
                <c:pt idx="2">
                  <c:v>Road</c:v>
                </c:pt>
                <c:pt idx="3">
                  <c:v>Sea</c:v>
                </c:pt>
              </c:strCache>
            </c:strRef>
          </c:cat>
          <c:val>
            <c:numRef>
              <c:f>Analysis!$I$3:$I$7</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00-6B59-4898-B870-6EFBA9F20620}"/>
            </c:ext>
          </c:extLst>
        </c:ser>
        <c:dLbls>
          <c:showLegendKey val="0"/>
          <c:showVal val="0"/>
          <c:showCatName val="0"/>
          <c:showSerName val="0"/>
          <c:showPercent val="0"/>
          <c:showBubbleSize val="0"/>
        </c:dLbls>
        <c:gapWidth val="150"/>
        <c:axId val="1255861472"/>
        <c:axId val="1255856192"/>
      </c:barChart>
      <c:catAx>
        <c:axId val="125586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56192"/>
        <c:crosses val="autoZero"/>
        <c:auto val="1"/>
        <c:lblAlgn val="ctr"/>
        <c:lblOffset val="100"/>
        <c:noMultiLvlLbl val="0"/>
      </c:catAx>
      <c:valAx>
        <c:axId val="125585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6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9</xdr:col>
      <xdr:colOff>212433</xdr:colOff>
      <xdr:row>11</xdr:row>
      <xdr:rowOff>30295</xdr:rowOff>
    </xdr:from>
    <xdr:ext cx="184730" cy="937629"/>
    <xdr:sp macro="" textlink="">
      <xdr:nvSpPr>
        <xdr:cNvPr id="2" name="Rectangle 1">
          <a:extLst>
            <a:ext uri="{FF2B5EF4-FFF2-40B4-BE49-F238E27FC236}">
              <a16:creationId xmlns:a16="http://schemas.microsoft.com/office/drawing/2014/main" id="{A7BDF776-5FC4-6D90-B307-41D8B7AD19AE}"/>
            </a:ext>
          </a:extLst>
        </xdr:cNvPr>
        <xdr:cNvSpPr/>
      </xdr:nvSpPr>
      <xdr:spPr>
        <a:xfrm>
          <a:off x="6994233" y="2041975"/>
          <a:ext cx="184730" cy="937629"/>
        </a:xfrm>
        <a:prstGeom prst="rect">
          <a:avLst/>
        </a:prstGeom>
        <a:noFill/>
      </xdr:spPr>
      <xdr:txBody>
        <a:bodyPr wrap="none" lIns="91440" tIns="45720" rIns="91440" bIns="45720">
          <a:spAutoFit/>
        </a:bodyPr>
        <a:lstStyle/>
        <a:p>
          <a:pPr algn="ct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0</xdr:col>
      <xdr:colOff>0</xdr:colOff>
      <xdr:row>0</xdr:row>
      <xdr:rowOff>91439</xdr:rowOff>
    </xdr:from>
    <xdr:ext cx="2994659" cy="1607821"/>
    <xdr:sp macro="" textlink="">
      <xdr:nvSpPr>
        <xdr:cNvPr id="3" name="Rectangle 2">
          <a:extLst>
            <a:ext uri="{FF2B5EF4-FFF2-40B4-BE49-F238E27FC236}">
              <a16:creationId xmlns:a16="http://schemas.microsoft.com/office/drawing/2014/main" id="{4D27ADD5-610F-5040-2D3B-850574FF4FF1}"/>
            </a:ext>
          </a:extLst>
        </xdr:cNvPr>
        <xdr:cNvSpPr/>
      </xdr:nvSpPr>
      <xdr:spPr>
        <a:xfrm>
          <a:off x="0" y="91439"/>
          <a:ext cx="2994659" cy="1607821"/>
        </a:xfrm>
        <a:prstGeom prst="rect">
          <a:avLst/>
        </a:prstGeom>
        <a:noFill/>
      </xdr:spPr>
      <xdr:txBody>
        <a:bodyPr wrap="square" lIns="91440" tIns="45720" rIns="91440" bIns="45720">
          <a:noAutofit/>
        </a:bodyPr>
        <a:lstStyle/>
        <a:p>
          <a:pPr algn="ctr"/>
          <a:r>
            <a:rPr lang="en-US" sz="1200" b="0" cap="none" spc="0">
              <a:ln w="0"/>
              <a:solidFill>
                <a:schemeClr val="accent1"/>
              </a:solidFill>
              <a:effectLst>
                <a:outerShdw blurRad="38100" dist="25400" dir="5400000" algn="ctr" rotWithShape="0">
                  <a:srgbClr val="6E747A">
                    <a:alpha val="43000"/>
                  </a:srgbClr>
                </a:outerShdw>
              </a:effectLst>
            </a:rPr>
            <a:t>Revenue by product type</a:t>
          </a:r>
        </a:p>
      </xdr:txBody>
    </xdr:sp>
    <xdr:clientData/>
  </xdr:oneCellAnchor>
  <xdr:twoCellAnchor>
    <xdr:from>
      <xdr:col>6</xdr:col>
      <xdr:colOff>577272</xdr:colOff>
      <xdr:row>9</xdr:row>
      <xdr:rowOff>11546</xdr:rowOff>
    </xdr:from>
    <xdr:to>
      <xdr:col>10</xdr:col>
      <xdr:colOff>461817</xdr:colOff>
      <xdr:row>21</xdr:row>
      <xdr:rowOff>176761</xdr:rowOff>
    </xdr:to>
    <xdr:graphicFrame macro="">
      <xdr:nvGraphicFramePr>
        <xdr:cNvPr id="7" name="Chart 6">
          <a:extLst>
            <a:ext uri="{FF2B5EF4-FFF2-40B4-BE49-F238E27FC236}">
              <a16:creationId xmlns:a16="http://schemas.microsoft.com/office/drawing/2014/main" id="{2F95F2DE-271B-2092-ABAF-25DEDE93D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295332</xdr:colOff>
      <xdr:row>24</xdr:row>
      <xdr:rowOff>56973</xdr:rowOff>
    </xdr:from>
    <xdr:to>
      <xdr:col>7</xdr:col>
      <xdr:colOff>226752</xdr:colOff>
      <xdr:row>37</xdr:row>
      <xdr:rowOff>142431</xdr:rowOff>
    </xdr:to>
    <xdr:graphicFrame macro="">
      <xdr:nvGraphicFramePr>
        <xdr:cNvPr id="8" name="Chart 7">
          <a:extLst>
            <a:ext uri="{FF2B5EF4-FFF2-40B4-BE49-F238E27FC236}">
              <a16:creationId xmlns:a16="http://schemas.microsoft.com/office/drawing/2014/main" id="{847AD4BD-B9BC-01E6-8C57-121803895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69274</xdr:colOff>
      <xdr:row>8</xdr:row>
      <xdr:rowOff>80819</xdr:rowOff>
    </xdr:from>
    <xdr:to>
      <xdr:col>2</xdr:col>
      <xdr:colOff>14243</xdr:colOff>
      <xdr:row>22</xdr:row>
      <xdr:rowOff>69274</xdr:rowOff>
    </xdr:to>
    <xdr:graphicFrame macro="">
      <xdr:nvGraphicFramePr>
        <xdr:cNvPr id="9" name="Chart 8">
          <a:extLst>
            <a:ext uri="{FF2B5EF4-FFF2-40B4-BE49-F238E27FC236}">
              <a16:creationId xmlns:a16="http://schemas.microsoft.com/office/drawing/2014/main" id="{6F57C901-37C3-F820-1C08-7779CF125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1367328</xdr:colOff>
      <xdr:row>9</xdr:row>
      <xdr:rowOff>7122</xdr:rowOff>
    </xdr:from>
    <xdr:to>
      <xdr:col>5</xdr:col>
      <xdr:colOff>78336</xdr:colOff>
      <xdr:row>19</xdr:row>
      <xdr:rowOff>150263</xdr:rowOff>
    </xdr:to>
    <xdr:graphicFrame macro="">
      <xdr:nvGraphicFramePr>
        <xdr:cNvPr id="14" name="Chart 13">
          <a:extLst>
            <a:ext uri="{FF2B5EF4-FFF2-40B4-BE49-F238E27FC236}">
              <a16:creationId xmlns:a16="http://schemas.microsoft.com/office/drawing/2014/main" id="{C1ECAECC-F6B0-86B1-AA96-6E8517112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327949</xdr:colOff>
      <xdr:row>4</xdr:row>
      <xdr:rowOff>28937</xdr:rowOff>
    </xdr:from>
    <xdr:to>
      <xdr:col>4</xdr:col>
      <xdr:colOff>106101</xdr:colOff>
      <xdr:row>20</xdr:row>
      <xdr:rowOff>14316</xdr:rowOff>
    </xdr:to>
    <xdr:graphicFrame macro="">
      <xdr:nvGraphicFramePr>
        <xdr:cNvPr id="2" name="Chart 1">
          <a:extLst>
            <a:ext uri="{FF2B5EF4-FFF2-40B4-BE49-F238E27FC236}">
              <a16:creationId xmlns:a16="http://schemas.microsoft.com/office/drawing/2014/main" id="{AD4AB706-2030-419F-8D6C-53BDD7CF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38582</xdr:colOff>
      <xdr:row>4</xdr:row>
      <xdr:rowOff>86811</xdr:rowOff>
    </xdr:from>
    <xdr:to>
      <xdr:col>9</xdr:col>
      <xdr:colOff>462988</xdr:colOff>
      <xdr:row>20</xdr:row>
      <xdr:rowOff>11315</xdr:rowOff>
    </xdr:to>
    <xdr:graphicFrame macro="">
      <xdr:nvGraphicFramePr>
        <xdr:cNvPr id="3" name="Chart 2">
          <a:extLst>
            <a:ext uri="{FF2B5EF4-FFF2-40B4-BE49-F238E27FC236}">
              <a16:creationId xmlns:a16="http://schemas.microsoft.com/office/drawing/2014/main" id="{3FCA7F6F-ED4E-41B3-BEA5-8E7A17C2C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10438</xdr:colOff>
      <xdr:row>4</xdr:row>
      <xdr:rowOff>62629</xdr:rowOff>
    </xdr:from>
    <xdr:to>
      <xdr:col>15</xdr:col>
      <xdr:colOff>569087</xdr:colOff>
      <xdr:row>18</xdr:row>
      <xdr:rowOff>77163</xdr:rowOff>
    </xdr:to>
    <xdr:graphicFrame macro="">
      <xdr:nvGraphicFramePr>
        <xdr:cNvPr id="4" name="Chart 3">
          <a:extLst>
            <a:ext uri="{FF2B5EF4-FFF2-40B4-BE49-F238E27FC236}">
              <a16:creationId xmlns:a16="http://schemas.microsoft.com/office/drawing/2014/main" id="{382F4DF0-F24D-4942-85AE-74F7AA150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144684</xdr:colOff>
      <xdr:row>18</xdr:row>
      <xdr:rowOff>144683</xdr:rowOff>
    </xdr:from>
    <xdr:to>
      <xdr:col>14</xdr:col>
      <xdr:colOff>318304</xdr:colOff>
      <xdr:row>25</xdr:row>
      <xdr:rowOff>173619</xdr:rowOff>
    </xdr:to>
    <mc:AlternateContent xmlns:mc="http://schemas.openxmlformats.org/markup-compatibility/2006">
      <mc:Choice xmlns:a14="http://schemas.microsoft.com/office/drawing/2010/main" Requires="a14">
        <xdr:graphicFrame macro="">
          <xdr:nvGraphicFramePr>
            <xdr:cNvPr id="5" name="Transportation modes">
              <a:extLst>
                <a:ext uri="{FF2B5EF4-FFF2-40B4-BE49-F238E27FC236}">
                  <a16:creationId xmlns:a16="http://schemas.microsoft.com/office/drawing/2014/main" id="{2AA8BC72-4563-4C1E-9DE0-A00D13935C13}"/>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dr:sp macro="" textlink="">
          <xdr:nvSpPr>
            <xdr:cNvPr id="0" name=""/>
            <xdr:cNvSpPr>
              <a:spLocks noTextEdit="1"/>
            </xdr:cNvSpPr>
          </xdr:nvSpPr>
          <xdr:spPr>
            <a:xfrm>
              <a:off x="8311336" y="3954683"/>
              <a:ext cx="2012359" cy="1420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453342</xdr:colOff>
      <xdr:row>19</xdr:row>
      <xdr:rowOff>173622</xdr:rowOff>
    </xdr:from>
    <xdr:to>
      <xdr:col>8</xdr:col>
      <xdr:colOff>37714</xdr:colOff>
      <xdr:row>28</xdr:row>
      <xdr:rowOff>36076</xdr:rowOff>
    </xdr:to>
    <mc:AlternateContent xmlns:mc="http://schemas.openxmlformats.org/markup-compatibility/2006">
      <mc:Choice xmlns:a14="http://schemas.microsoft.com/office/drawing/2010/main" Requires="a14">
        <xdr:graphicFrame macro="">
          <xdr:nvGraphicFramePr>
            <xdr:cNvPr id="6" name="Supplier name">
              <a:extLst>
                <a:ext uri="{FF2B5EF4-FFF2-40B4-BE49-F238E27FC236}">
                  <a16:creationId xmlns:a16="http://schemas.microsoft.com/office/drawing/2014/main" id="{525B9F2F-9333-48AC-844E-18147BF99C09}"/>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4147385" y="4165839"/>
              <a:ext cx="1828959" cy="1618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106101</xdr:colOff>
      <xdr:row>20</xdr:row>
      <xdr:rowOff>106102</xdr:rowOff>
    </xdr:from>
    <xdr:to>
      <xdr:col>3</xdr:col>
      <xdr:colOff>421030</xdr:colOff>
      <xdr:row>26</xdr:row>
      <xdr:rowOff>157995</xdr:rowOff>
    </xdr:to>
    <mc:AlternateContent xmlns:mc="http://schemas.openxmlformats.org/markup-compatibility/2006">
      <mc:Choice xmlns:a14="http://schemas.microsoft.com/office/drawing/2010/main" Requires="a14">
        <xdr:graphicFrame macro="">
          <xdr:nvGraphicFramePr>
            <xdr:cNvPr id="7" name="Product type">
              <a:extLst>
                <a:ext uri="{FF2B5EF4-FFF2-40B4-BE49-F238E27FC236}">
                  <a16:creationId xmlns:a16="http://schemas.microsoft.com/office/drawing/2014/main" id="{D55078EE-9F5D-44DF-9B42-39C1C55279B0}"/>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719014" y="4280537"/>
              <a:ext cx="1830646" cy="1261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4</xdr:row>
      <xdr:rowOff>45720</xdr:rowOff>
    </xdr:from>
    <xdr:to>
      <xdr:col>21</xdr:col>
      <xdr:colOff>38100</xdr:colOff>
      <xdr:row>12</xdr:row>
      <xdr:rowOff>160020</xdr:rowOff>
    </xdr:to>
    <xdr:sp macro="" textlink="">
      <xdr:nvSpPr>
        <xdr:cNvPr id="10" name="TextBox 9">
          <a:extLst>
            <a:ext uri="{FF2B5EF4-FFF2-40B4-BE49-F238E27FC236}">
              <a16:creationId xmlns:a16="http://schemas.microsoft.com/office/drawing/2014/main" id="{186AD9CD-20DB-80D5-2C49-010A859FEDF9}"/>
            </a:ext>
          </a:extLst>
        </xdr:cNvPr>
        <xdr:cNvSpPr txBox="1"/>
      </xdr:nvSpPr>
      <xdr:spPr>
        <a:xfrm>
          <a:off x="11658600" y="822960"/>
          <a:ext cx="3086100" cy="1691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Key Insights</a:t>
          </a:r>
          <a:r>
            <a:rPr lang="en-IN" sz="1800" b="1">
              <a:effectLst/>
            </a:rPr>
            <a:t>                                                                    </a:t>
          </a:r>
          <a:r>
            <a:rPr lang="en-IN" sz="1100" b="0" i="0" u="none" strike="noStrike">
              <a:solidFill>
                <a:schemeClr val="dk1"/>
              </a:solidFill>
              <a:effectLst/>
              <a:latin typeface="+mn-lt"/>
              <a:ea typeface="+mn-ea"/>
              <a:cs typeface="+mn-cs"/>
            </a:rPr>
            <a:t>• Skincare products generate the highest revenue.</a:t>
          </a:r>
          <a:r>
            <a:rPr lang="en-IN" sz="1100">
              <a:effectLst/>
            </a:rPr>
            <a:t> </a:t>
          </a:r>
          <a:r>
            <a:rPr lang="en-IN" sz="1100" b="0" i="0" u="none" strike="noStrike">
              <a:solidFill>
                <a:schemeClr val="dk1"/>
              </a:solidFill>
              <a:effectLst/>
              <a:latin typeface="+mn-lt"/>
              <a:ea typeface="+mn-ea"/>
              <a:cs typeface="+mn-cs"/>
            </a:rPr>
            <a:t>• Supplier 5 shows the highest average defect rate.                                                                                               </a:t>
          </a:r>
          <a:r>
            <a:rPr lang="en-IN" sz="1100">
              <a:effectLst/>
            </a:rPr>
            <a:t> </a:t>
          </a:r>
          <a:r>
            <a:rPr lang="en-IN" sz="1100" b="0" i="0" u="none" strike="noStrike">
              <a:solidFill>
                <a:schemeClr val="dk1"/>
              </a:solidFill>
              <a:effectLst/>
              <a:latin typeface="+mn-lt"/>
              <a:ea typeface="+mn-ea"/>
              <a:cs typeface="+mn-cs"/>
            </a:rPr>
            <a:t>• Road transportation has the best delivery speed.</a:t>
          </a:r>
          <a:r>
            <a:rPr lang="en-IN" sz="1100">
              <a:effectLst/>
            </a:rPr>
            <a:t> </a:t>
          </a:r>
          <a:r>
            <a:rPr lang="en-IN" sz="1100" b="0" i="0" u="none" strike="noStrike">
              <a:solidFill>
                <a:schemeClr val="dk1"/>
              </a:solidFill>
              <a:effectLst/>
              <a:latin typeface="+mn-lt"/>
              <a:ea typeface="+mn-ea"/>
              <a:cs typeface="+mn-cs"/>
            </a:rPr>
            <a:t>• Profitability differs across product categories.</a:t>
          </a:r>
          <a:r>
            <a:rPr lang="en-IN">
              <a:effectLst/>
            </a:rPr>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GA A S" refreshedDate="46140.468666666668" createdVersion="8" refreshedVersion="8" minRefreshableVersion="3" recordCount="100" xr:uid="{90CC0CB2-2DF7-422F-8630-B74FE3035782}">
  <cacheSource type="worksheet">
    <worksheetSource name="Table1"/>
  </cacheSource>
  <cacheFields count="28">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0">
      <sharedItems containsSemiMixedTypes="0" containsString="0" containsNumber="1" minValue="103.916247960704" maxValue="997.41345013319403"/>
    </cacheField>
    <cacheField name="Total cost" numFmtId="0">
      <sharedItems containsSemiMixedTypes="0" containsString="0" containsNumber="1" minValue="4.9658318725390602" maxValue="107.36633317128152"/>
    </cacheField>
    <cacheField name="Estimated profit" numFmtId="0">
      <sharedItems containsSemiMixedTypes="0" containsString="0" containsNumber="1" minValue="1052.424038172893" maxValue="9847.4921290771726"/>
    </cacheField>
    <cacheField name="profit margin" numFmtId="0">
      <sharedItems containsSemiMixedTypes="0" containsString="0" containsNumber="1" minValue="0.93813937029605743" maxValue="0.99936526532229608"/>
    </cacheField>
    <cacheField name="Delivery Efficiency" numFmtId="0">
      <sharedItems containsSemiMixedTypes="0" containsString="0" containsNumber="1" minValue="3.7037037037037038E-3" maxValue="0.33333333333333331"/>
    </cacheField>
  </cacheFields>
  <extLst>
    <ext xmlns:x14="http://schemas.microsoft.com/office/spreadsheetml/2009/9/main" uri="{725AE2AE-9491-48be-B2B4-4EB974FC3084}">
      <x14:pivotCacheDefinition pivotCacheId="1910964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s v="Non-binary"/>
    <n v="58"/>
    <n v="7"/>
    <n v="96"/>
    <n v="4"/>
    <s v="Carrier B"/>
    <n v="2.9565721394308002"/>
    <x v="0"/>
    <s v="Mumbai"/>
    <n v="29"/>
    <n v="215"/>
    <n v="29"/>
    <n v="46.279879240508301"/>
    <s v="Pending"/>
    <n v="0.226410360849925"/>
    <x v="0"/>
    <s v="Route B"/>
    <n v="187.75207545920301"/>
    <n v="49.236451379939098"/>
    <n v="8612.7603410124411"/>
    <n v="0.9943158081721778"/>
    <n v="8.6206896551724137E-3"/>
  </r>
  <r>
    <x v="1"/>
    <s v="SKU1"/>
    <n v="14.8435232750843"/>
    <n v="95"/>
    <n v="736"/>
    <n v="7460.9000654458396"/>
    <s v="Female"/>
    <n v="53"/>
    <n v="30"/>
    <n v="37"/>
    <n v="2"/>
    <s v="Carrier A"/>
    <n v="9.7165747714313095"/>
    <x v="0"/>
    <s v="Mumbai"/>
    <n v="23"/>
    <n v="517"/>
    <n v="30"/>
    <n v="33.616768953730002"/>
    <s v="Pending"/>
    <n v="4.8540680263886999"/>
    <x v="0"/>
    <s v="Route B"/>
    <n v="503.06557914966902"/>
    <n v="43.333343725161313"/>
    <n v="7417.5667217206783"/>
    <n v="0.99419194154256885"/>
    <n v="2.1739130434782608E-2"/>
  </r>
  <r>
    <x v="0"/>
    <s v="SKU2"/>
    <n v="11.319683293090501"/>
    <n v="34"/>
    <n v="8"/>
    <n v="9577.7496258687297"/>
    <s v="Unknown"/>
    <n v="1"/>
    <n v="10"/>
    <n v="88"/>
    <n v="2"/>
    <s v="Carrier B"/>
    <n v="8.0544792617321495"/>
    <x v="1"/>
    <s v="Mumbai"/>
    <n v="12"/>
    <n v="971"/>
    <n v="27"/>
    <n v="30.6880193482842"/>
    <s v="Pending"/>
    <n v="4.5805926191992201"/>
    <x v="1"/>
    <s v="Route C"/>
    <n v="141.920281771519"/>
    <n v="38.742498610016348"/>
    <n v="9539.0071272587138"/>
    <n v="0.99595494765227777"/>
    <n v="4.1666666666666664E-2"/>
  </r>
  <r>
    <x v="1"/>
    <s v="SKU3"/>
    <n v="61.1633430164377"/>
    <n v="68"/>
    <n v="83"/>
    <n v="7766.8364256852301"/>
    <s v="Non-binary"/>
    <n v="23"/>
    <n v="13"/>
    <n v="59"/>
    <n v="6"/>
    <s v="Carrier C"/>
    <n v="1.7295685635434199"/>
    <x v="2"/>
    <s v="Kolkata"/>
    <n v="24"/>
    <n v="937"/>
    <n v="18"/>
    <n v="35.624741397125"/>
    <s v="Fail"/>
    <n v="4.7466486206477496"/>
    <x v="2"/>
    <s v="Route A"/>
    <n v="254.776159219286"/>
    <n v="37.354309960668417"/>
    <n v="7729.4821157245615"/>
    <n v="0.99519053731617979"/>
    <n v="6.9444444444444441E-3"/>
  </r>
  <r>
    <x v="1"/>
    <s v="SKU4"/>
    <n v="4.8054960363458896"/>
    <n v="26"/>
    <n v="871"/>
    <n v="2686.50515156744"/>
    <s v="Non-binary"/>
    <n v="5"/>
    <n v="3"/>
    <n v="56"/>
    <n v="8"/>
    <s v="Carrier A"/>
    <n v="3.8905479158706702"/>
    <x v="1"/>
    <s v="Delhi"/>
    <n v="5"/>
    <n v="414"/>
    <n v="3"/>
    <n v="92.065160598712794"/>
    <s v="Fail"/>
    <n v="3.1455795228330001"/>
    <x v="1"/>
    <s v="Route A"/>
    <n v="923.44063171192204"/>
    <n v="95.955708514583463"/>
    <n v="2590.5494430528565"/>
    <n v="0.96428232848963713"/>
    <n v="2.5000000000000001E-2"/>
  </r>
  <r>
    <x v="0"/>
    <s v="SKU5"/>
    <n v="1.6999760138659299"/>
    <n v="87"/>
    <n v="147"/>
    <n v="2828.3487459757498"/>
    <s v="Non-binary"/>
    <n v="90"/>
    <n v="27"/>
    <n v="66"/>
    <n v="3"/>
    <s v="Carrier B"/>
    <n v="4.4440988643822896"/>
    <x v="3"/>
    <s v="Bangalore"/>
    <n v="10"/>
    <n v="104"/>
    <n v="17"/>
    <n v="56.766475557431797"/>
    <s v="Fail"/>
    <n v="2.7791935115711599"/>
    <x v="0"/>
    <s v="Route A"/>
    <n v="235.461236735537"/>
    <n v="61.210574421814087"/>
    <n v="2767.1381715539355"/>
    <n v="0.97835819415519165"/>
    <n v="3.3333333333333333E-2"/>
  </r>
  <r>
    <x v="1"/>
    <s v="SKU6"/>
    <n v="4.0783328631079403"/>
    <n v="48"/>
    <n v="65"/>
    <n v="7823.4765595317303"/>
    <s v="Male"/>
    <n v="11"/>
    <n v="15"/>
    <n v="58"/>
    <n v="8"/>
    <s v="Carrier C"/>
    <n v="3.8807633029519999"/>
    <x v="0"/>
    <s v="Kolkata"/>
    <n v="14"/>
    <n v="314"/>
    <n v="24"/>
    <n v="1.0850685695870601"/>
    <s v="Pending"/>
    <n v="1.0009106193041299"/>
    <x v="3"/>
    <s v="Route A"/>
    <n v="134.36909686103101"/>
    <n v="4.9658318725390602"/>
    <n v="7818.5107276591916"/>
    <n v="0.99936526532229608"/>
    <n v="8.9285714285714281E-3"/>
  </r>
  <r>
    <x v="2"/>
    <s v="SKU7"/>
    <n v="42.958384382459997"/>
    <n v="59"/>
    <n v="426"/>
    <n v="8496.1038130898305"/>
    <s v="Female"/>
    <n v="93"/>
    <n v="17"/>
    <n v="11"/>
    <n v="1"/>
    <s v="Carrier B"/>
    <n v="2.3483387844177801"/>
    <x v="3"/>
    <s v="Bangalore"/>
    <n v="22"/>
    <n v="564"/>
    <n v="1"/>
    <n v="99.466108603599096"/>
    <s v="Fail"/>
    <n v="0.39817718685065001"/>
    <x v="0"/>
    <s v="Route C"/>
    <n v="802.05631181755803"/>
    <n v="101.81444738801687"/>
    <n v="8394.2893657018139"/>
    <n v="0.98801633670822708"/>
    <n v="4.5454545454545456E-2"/>
  </r>
  <r>
    <x v="2"/>
    <s v="SKU8"/>
    <n v="68.717596748527299"/>
    <n v="78"/>
    <n v="150"/>
    <n v="7517.3632106311197"/>
    <s v="Female"/>
    <n v="5"/>
    <n v="10"/>
    <n v="15"/>
    <n v="7"/>
    <s v="Carrier C"/>
    <n v="3.4047338570830199"/>
    <x v="3"/>
    <s v="Mumbai"/>
    <n v="13"/>
    <n v="769"/>
    <n v="8"/>
    <n v="11.423027139565599"/>
    <s v="Pending"/>
    <n v="2.7098626911099601"/>
    <x v="3"/>
    <s v="Route B"/>
    <n v="505.55713422546398"/>
    <n v="14.827760996648619"/>
    <n v="7502.5354496344708"/>
    <n v="0.99802753165156644"/>
    <n v="1.0989010989010988E-2"/>
  </r>
  <r>
    <x v="1"/>
    <s v="SKU9"/>
    <n v="64.0157329412785"/>
    <n v="35"/>
    <n v="980"/>
    <n v="4971.1459875855498"/>
    <s v="Unknown"/>
    <n v="14"/>
    <n v="27"/>
    <n v="83"/>
    <n v="1"/>
    <s v="Carrier A"/>
    <n v="7.1666452910482104"/>
    <x v="4"/>
    <s v="Chennai"/>
    <n v="29"/>
    <n v="963"/>
    <n v="23"/>
    <n v="47.957601634951502"/>
    <s v="Pending"/>
    <n v="3.8446144787675798"/>
    <x v="2"/>
    <s v="Route B"/>
    <n v="995.92946149864099"/>
    <n v="55.124246925999714"/>
    <n v="4916.0217406595502"/>
    <n v="0.98891115910422633"/>
    <n v="3.4482758620689655E-2"/>
  </r>
  <r>
    <x v="1"/>
    <s v="SKU10"/>
    <n v="15.707795681912099"/>
    <n v="11"/>
    <n v="996"/>
    <n v="2330.9658020919401"/>
    <s v="Non-binary"/>
    <n v="51"/>
    <n v="13"/>
    <n v="80"/>
    <n v="2"/>
    <s v="Carrier C"/>
    <n v="8.6732112112786108"/>
    <x v="2"/>
    <s v="Kolkata"/>
    <n v="18"/>
    <n v="830"/>
    <n v="5"/>
    <n v="96.527352785310896"/>
    <s v="Pass"/>
    <n v="1.72731392835594"/>
    <x v="0"/>
    <s v="Route B"/>
    <n v="806.10317770292295"/>
    <n v="105.20056399658951"/>
    <n v="2225.7652380953505"/>
    <n v="0.95486825079021898"/>
    <n v="2.7777777777777776E-2"/>
  </r>
  <r>
    <x v="1"/>
    <s v="SKU11"/>
    <n v="90.635459982288594"/>
    <n v="95"/>
    <n v="960"/>
    <n v="6099.9441155814502"/>
    <s v="Female"/>
    <n v="46"/>
    <n v="23"/>
    <n v="60"/>
    <n v="1"/>
    <s v="Carrier A"/>
    <n v="4.5239431243166601"/>
    <x v="4"/>
    <s v="Kolkata"/>
    <n v="28"/>
    <n v="362"/>
    <n v="11"/>
    <n v="27.5923630866636"/>
    <s v="Pending"/>
    <n v="2.1169821372994301E-2"/>
    <x v="1"/>
    <s v="Route A"/>
    <n v="126.72303340940699"/>
    <n v="32.116306210980262"/>
    <n v="6067.8278093704703"/>
    <n v="0.99473498353387479"/>
    <n v="3.5714285714285712E-2"/>
  </r>
  <r>
    <x v="0"/>
    <s v="SKU12"/>
    <n v="71.213389075359999"/>
    <n v="41"/>
    <n v="336"/>
    <n v="2873.74144602144"/>
    <s v="Unknown"/>
    <n v="100"/>
    <n v="30"/>
    <n v="85"/>
    <n v="4"/>
    <s v="Carrier A"/>
    <n v="1.32527401018452"/>
    <x v="3"/>
    <s v="Kolkata"/>
    <n v="3"/>
    <n v="563"/>
    <n v="3"/>
    <n v="32.321286213424003"/>
    <s v="Fail"/>
    <n v="2.1612537475559099"/>
    <x v="0"/>
    <s v="Route B"/>
    <n v="402.96878907376998"/>
    <n v="33.646560223608525"/>
    <n v="2840.0948857978315"/>
    <n v="0.98829172322715719"/>
    <n v="8.3333333333333329E-2"/>
  </r>
  <r>
    <x v="1"/>
    <s v="SKU13"/>
    <n v="16.160393317379899"/>
    <n v="5"/>
    <n v="249"/>
    <n v="4052.7384162378598"/>
    <s v="Male"/>
    <n v="80"/>
    <n v="8"/>
    <n v="48"/>
    <n v="9"/>
    <s v="Carrier A"/>
    <n v="9.5372830611083295"/>
    <x v="2"/>
    <s v="Bangalore"/>
    <n v="23"/>
    <n v="173"/>
    <n v="10"/>
    <n v="97.829050110173199"/>
    <s v="Pending"/>
    <n v="1.63107423007153"/>
    <x v="0"/>
    <s v="Route B"/>
    <n v="547.24100516096803"/>
    <n v="107.36633317128152"/>
    <n v="3945.3720830665784"/>
    <n v="0.97350770709969747"/>
    <n v="4.830917874396135E-3"/>
  </r>
  <r>
    <x v="1"/>
    <s v="SKU14"/>
    <n v="99.171328638624104"/>
    <n v="26"/>
    <n v="562"/>
    <n v="8653.5709264697998"/>
    <s v="Non-binary"/>
    <n v="54"/>
    <n v="29"/>
    <n v="78"/>
    <n v="5"/>
    <s v="Carrier B"/>
    <n v="2.0397701894493299"/>
    <x v="1"/>
    <s v="Kolkata"/>
    <n v="25"/>
    <n v="558"/>
    <n v="14"/>
    <n v="5.7914366298629796"/>
    <s v="Pending"/>
    <n v="0.100682851565093"/>
    <x v="1"/>
    <s v="Route B"/>
    <n v="929.23528996088896"/>
    <n v="7.8312068193123094"/>
    <n v="8645.739719650488"/>
    <n v="0.99909503176366676"/>
    <n v="8.0000000000000002E-3"/>
  </r>
  <r>
    <x v="1"/>
    <s v="SKU15"/>
    <n v="36.989244928626903"/>
    <n v="94"/>
    <n v="469"/>
    <n v="5442.0867853976697"/>
    <s v="Non-binary"/>
    <n v="9"/>
    <n v="8"/>
    <n v="69"/>
    <n v="7"/>
    <s v="Carrier B"/>
    <n v="2.4220397232752"/>
    <x v="1"/>
    <s v="Bangalore"/>
    <n v="14"/>
    <n v="580"/>
    <n v="7"/>
    <n v="97.121281751474299"/>
    <s v="Pass"/>
    <n v="2.2644057611985402"/>
    <x v="3"/>
    <s v="Route B"/>
    <n v="127.861800001625"/>
    <n v="99.543321474749504"/>
    <n v="5342.5434639229206"/>
    <n v="0.98170861189831704"/>
    <n v="1.020408163265306E-2"/>
  </r>
  <r>
    <x v="1"/>
    <s v="SKU16"/>
    <n v="7.5471721097912701"/>
    <n v="74"/>
    <n v="280"/>
    <n v="6453.7979681762799"/>
    <s v="Female"/>
    <n v="2"/>
    <n v="5"/>
    <n v="78"/>
    <n v="1"/>
    <s v="Carrier B"/>
    <n v="4.1913245857054999"/>
    <x v="1"/>
    <s v="Bangalore"/>
    <n v="3"/>
    <n v="399"/>
    <n v="21"/>
    <n v="77.106342497849994"/>
    <s v="Pass"/>
    <n v="1.01256308925804"/>
    <x v="1"/>
    <s v="Route A"/>
    <n v="865.52577977123997"/>
    <n v="81.297667083555496"/>
    <n v="6372.5003010927248"/>
    <n v="0.98740312797449903"/>
    <n v="0.33333333333333331"/>
  </r>
  <r>
    <x v="2"/>
    <s v="SKU17"/>
    <n v="81.462534369237005"/>
    <n v="82"/>
    <n v="126"/>
    <n v="2629.39643484526"/>
    <s v="Female"/>
    <n v="45"/>
    <n v="17"/>
    <n v="85"/>
    <n v="9"/>
    <s v="Carrier C"/>
    <n v="3.5854189582323399"/>
    <x v="1"/>
    <s v="Chennai"/>
    <n v="7"/>
    <n v="453"/>
    <n v="16"/>
    <n v="47.679680368355299"/>
    <s v="Fail"/>
    <n v="0.102020754918176"/>
    <x v="1"/>
    <s v="Route C"/>
    <n v="670.93439079241"/>
    <n v="51.265099326587638"/>
    <n v="2578.1313355186726"/>
    <n v="0.98050309240279909"/>
    <n v="1.5873015873015872E-2"/>
  </r>
  <r>
    <x v="0"/>
    <s v="SKU18"/>
    <n v="36.4436277704609"/>
    <n v="23"/>
    <n v="620"/>
    <n v="9364.6735050761708"/>
    <s v="Unknown"/>
    <n v="10"/>
    <n v="10"/>
    <n v="46"/>
    <n v="8"/>
    <s v="Carrier C"/>
    <n v="4.3392247141107001"/>
    <x v="4"/>
    <s v="Kolkata"/>
    <n v="18"/>
    <n v="374"/>
    <n v="17"/>
    <n v="27.107980854843898"/>
    <s v="Pending"/>
    <n v="2.2319391107292601"/>
    <x v="3"/>
    <s v="Route A"/>
    <n v="593.48025872065102"/>
    <n v="31.447205568954598"/>
    <n v="9333.226299507216"/>
    <n v="0.99664193251885302"/>
    <n v="6.9444444444444441E-3"/>
  </r>
  <r>
    <x v="1"/>
    <s v="SKU19"/>
    <n v="51.123870087964697"/>
    <n v="100"/>
    <n v="187"/>
    <n v="2553.4955849912099"/>
    <s v="Unknown"/>
    <n v="48"/>
    <n v="11"/>
    <n v="94"/>
    <n v="3"/>
    <s v="Carrier A"/>
    <n v="4.7426358828418698"/>
    <x v="3"/>
    <s v="Chennai"/>
    <n v="20"/>
    <n v="694"/>
    <n v="16"/>
    <n v="82.373320587990193"/>
    <s v="Fail"/>
    <n v="3.64645086541702"/>
    <x v="0"/>
    <s v="Route C"/>
    <n v="477.30763109090299"/>
    <n v="87.11595647083206"/>
    <n v="2466.379628520378"/>
    <n v="0.96588364711383212"/>
    <n v="1.6666666666666666E-2"/>
  </r>
  <r>
    <x v="1"/>
    <s v="SKU20"/>
    <n v="96.341072439963298"/>
    <n v="22"/>
    <n v="320"/>
    <n v="8128.0276968511898"/>
    <s v="Unknown"/>
    <n v="27"/>
    <n v="12"/>
    <n v="68"/>
    <n v="6"/>
    <s v="Carrier A"/>
    <n v="8.8783346509268402"/>
    <x v="1"/>
    <s v="Chennai"/>
    <n v="29"/>
    <n v="309"/>
    <n v="6"/>
    <n v="65.686259608488598"/>
    <s v="Pass"/>
    <n v="4.2314165735345304"/>
    <x v="1"/>
    <s v="Route B"/>
    <n v="493.871215316205"/>
    <n v="74.564594259415443"/>
    <n v="8053.4631025917743"/>
    <n v="0.99082623767530931"/>
    <n v="5.7471264367816091E-3"/>
  </r>
  <r>
    <x v="2"/>
    <s v="SKU21"/>
    <n v="84.893868984950799"/>
    <n v="60"/>
    <n v="601"/>
    <n v="7087.0526963574302"/>
    <s v="Unknown"/>
    <n v="69"/>
    <n v="25"/>
    <n v="7"/>
    <n v="6"/>
    <s v="Carrier B"/>
    <n v="6.0378837692182898"/>
    <x v="2"/>
    <s v="Chennai"/>
    <n v="19"/>
    <n v="791"/>
    <n v="4"/>
    <n v="61.735728954160898"/>
    <s v="Pending"/>
    <n v="1.8607567631014899E-2"/>
    <x v="1"/>
    <s v="Route C"/>
    <n v="523.36091472015801"/>
    <n v="67.773612723379188"/>
    <n v="7019.2790836340509"/>
    <n v="0.99043698196879315"/>
    <n v="8.771929824561403E-3"/>
  </r>
  <r>
    <x v="0"/>
    <s v="SKU22"/>
    <n v="27.679780886501899"/>
    <n v="55"/>
    <n v="884"/>
    <n v="2390.8078665561702"/>
    <s v="Unknown"/>
    <n v="71"/>
    <n v="1"/>
    <n v="63"/>
    <n v="10"/>
    <s v="Carrier A"/>
    <n v="9.5676489209230393"/>
    <x v="3"/>
    <s v="Kolkata"/>
    <n v="22"/>
    <n v="780"/>
    <n v="28"/>
    <n v="50.120839612977299"/>
    <s v="Fail"/>
    <n v="2.5912754732111098"/>
    <x v="2"/>
    <s v="Route C"/>
    <n v="205.57199582694699"/>
    <n v="59.68848853390034"/>
    <n v="2331.1193780222698"/>
    <n v="0.97503417594995678"/>
    <n v="4.5454545454545461E-3"/>
  </r>
  <r>
    <x v="2"/>
    <s v="SKU23"/>
    <n v="4.3243411858641601"/>
    <n v="30"/>
    <n v="391"/>
    <n v="8858.3675710114803"/>
    <s v="Unknown"/>
    <n v="84"/>
    <n v="5"/>
    <n v="29"/>
    <n v="7"/>
    <s v="Carrier A"/>
    <n v="2.92485760114555"/>
    <x v="2"/>
    <s v="Kolkata"/>
    <n v="11"/>
    <n v="568"/>
    <n v="29"/>
    <n v="98.6099572427038"/>
    <s v="Pending"/>
    <n v="1.3422915627227301"/>
    <x v="2"/>
    <s v="Route A"/>
    <n v="196.329446112412"/>
    <n v="101.53481484384935"/>
    <n v="8756.8327561676306"/>
    <n v="0.98853797677394684"/>
    <n v="1.2987012987012986E-2"/>
  </r>
  <r>
    <x v="0"/>
    <s v="SKU24"/>
    <n v="4.1563083593111001"/>
    <n v="32"/>
    <n v="209"/>
    <n v="9049.0778609398894"/>
    <s v="Male"/>
    <n v="4"/>
    <n v="26"/>
    <n v="2"/>
    <n v="8"/>
    <s v="Carrier C"/>
    <n v="9.7412916892843597"/>
    <x v="4"/>
    <s v="Bangalore"/>
    <n v="28"/>
    <n v="447"/>
    <n v="3"/>
    <n v="40.382359702924802"/>
    <s v="Pending"/>
    <n v="3.69131029262872"/>
    <x v="1"/>
    <s v="Route A"/>
    <n v="758.72477260293795"/>
    <n v="50.123651392209162"/>
    <n v="8998.9542095476809"/>
    <n v="0.99446091058531327"/>
    <n v="4.464285714285714E-3"/>
  </r>
  <r>
    <x v="0"/>
    <s v="SKU25"/>
    <n v="39.629343985092603"/>
    <n v="73"/>
    <n v="142"/>
    <n v="2174.7770543506499"/>
    <s v="Male"/>
    <n v="82"/>
    <n v="11"/>
    <n v="52"/>
    <n v="3"/>
    <s v="Carrier C"/>
    <n v="2.2310736812817198"/>
    <x v="3"/>
    <s v="Kolkata"/>
    <n v="19"/>
    <n v="934"/>
    <n v="23"/>
    <n v="78.280383118415301"/>
    <s v="Pending"/>
    <n v="3.79723121711418"/>
    <x v="0"/>
    <s v="Route B"/>
    <n v="458.53594573920901"/>
    <n v="80.511456799697015"/>
    <n v="2094.2655975509529"/>
    <n v="0.96297944350726272"/>
    <n v="1.7543859649122806E-2"/>
  </r>
  <r>
    <x v="0"/>
    <s v="SKU26"/>
    <n v="97.446946617892806"/>
    <n v="9"/>
    <n v="353"/>
    <n v="3716.49332589403"/>
    <s v="Male"/>
    <n v="59"/>
    <n v="16"/>
    <n v="48"/>
    <n v="4"/>
    <s v="Carrier B"/>
    <n v="6.5075486210785503"/>
    <x v="4"/>
    <s v="Bangalore"/>
    <n v="26"/>
    <n v="171"/>
    <n v="4"/>
    <n v="15.972229757181699"/>
    <s v="Pass"/>
    <n v="2.1193197367249201"/>
    <x v="2"/>
    <s v="Route A"/>
    <n v="617.86691645837698"/>
    <n v="22.479778378260249"/>
    <n v="3694.0135475157699"/>
    <n v="0.99395134703414212"/>
    <n v="9.6153846153846159E-3"/>
  </r>
  <r>
    <x v="2"/>
    <s v="SKU27"/>
    <n v="92.557360812401996"/>
    <n v="42"/>
    <n v="352"/>
    <n v="2686.4572235759802"/>
    <s v="Unknown"/>
    <n v="47"/>
    <n v="9"/>
    <n v="62"/>
    <n v="8"/>
    <s v="Carrier C"/>
    <n v="7.4067509529980704"/>
    <x v="2"/>
    <s v="Mumbai"/>
    <n v="25"/>
    <n v="291"/>
    <n v="4"/>
    <n v="10.5282450700421"/>
    <s v="Fail"/>
    <n v="2.8646678378833701"/>
    <x v="3"/>
    <s v="Route B"/>
    <n v="762.45918215568304"/>
    <n v="17.934996023040171"/>
    <n v="2668.52222755294"/>
    <n v="0.99332392272408243"/>
    <n v="5.0000000000000001E-3"/>
  </r>
  <r>
    <x v="2"/>
    <s v="SKU28"/>
    <n v="2.3972747055971402"/>
    <n v="12"/>
    <n v="394"/>
    <n v="6117.3246150839896"/>
    <s v="Female"/>
    <n v="48"/>
    <n v="15"/>
    <n v="24"/>
    <n v="4"/>
    <s v="Carrier B"/>
    <n v="9.8981405080692202"/>
    <x v="1"/>
    <s v="Mumbai"/>
    <n v="13"/>
    <n v="171"/>
    <n v="7"/>
    <n v="59.429381810691503"/>
    <s v="Fail"/>
    <n v="0.81575707929567198"/>
    <x v="1"/>
    <s v="Route A"/>
    <n v="123.437027511827"/>
    <n v="69.327522318760728"/>
    <n v="6047.9970927652284"/>
    <n v="0.9886670192149335"/>
    <n v="1.9230769230769232E-2"/>
  </r>
  <r>
    <x v="2"/>
    <s v="SKU29"/>
    <n v="63.447559185207297"/>
    <n v="3"/>
    <n v="253"/>
    <n v="8318.9031946171708"/>
    <s v="Female"/>
    <n v="45"/>
    <n v="5"/>
    <n v="67"/>
    <n v="7"/>
    <s v="Carrier B"/>
    <n v="8.1009731453970293"/>
    <x v="1"/>
    <s v="Kolkata"/>
    <n v="16"/>
    <n v="329"/>
    <n v="7"/>
    <n v="39.292875586065698"/>
    <s v="Pass"/>
    <n v="3.8780989365884802"/>
    <x v="0"/>
    <s v="Route B"/>
    <n v="764.93537594070801"/>
    <n v="47.393848731462725"/>
    <n v="8271.5093458857082"/>
    <n v="0.99430287291212505"/>
    <n v="8.9285714285714281E-3"/>
  </r>
  <r>
    <x v="0"/>
    <s v="SKU30"/>
    <n v="8.0228592105263896"/>
    <n v="10"/>
    <n v="327"/>
    <n v="2766.3423668660798"/>
    <s v="Male"/>
    <n v="60"/>
    <n v="26"/>
    <n v="35"/>
    <n v="7"/>
    <s v="Carrier B"/>
    <n v="8.9545283153180097"/>
    <x v="3"/>
    <s v="Kolkata"/>
    <n v="27"/>
    <n v="806"/>
    <n v="30"/>
    <n v="51.634893400109299"/>
    <s v="Pending"/>
    <n v="0.96539470535239302"/>
    <x v="0"/>
    <s v="Route C"/>
    <n v="880.08098824716103"/>
    <n v="60.589421715427306"/>
    <n v="2705.7529451506525"/>
    <n v="0.97809764169426816"/>
    <n v="5.2910052910052907E-3"/>
  </r>
  <r>
    <x v="1"/>
    <s v="SKU31"/>
    <n v="50.847393051718697"/>
    <n v="28"/>
    <n v="168"/>
    <n v="9655.1351027193905"/>
    <s v="Male"/>
    <n v="6"/>
    <n v="17"/>
    <n v="44"/>
    <n v="4"/>
    <s v="Carrier B"/>
    <n v="2.6796609649813998"/>
    <x v="0"/>
    <s v="Chennai"/>
    <n v="24"/>
    <n v="461"/>
    <n v="8"/>
    <n v="60.251145661598002"/>
    <s v="Pending"/>
    <n v="2.9890000066550702"/>
    <x v="2"/>
    <s v="Route C"/>
    <n v="609.379206618426"/>
    <n v="62.930806626579404"/>
    <n v="9592.2042960928102"/>
    <n v="0.99348214126917234"/>
    <n v="1.0416666666666666E-2"/>
  </r>
  <r>
    <x v="1"/>
    <s v="SKU32"/>
    <n v="79.209936015656695"/>
    <n v="43"/>
    <n v="781"/>
    <n v="9571.5504873278096"/>
    <s v="Unknown"/>
    <n v="89"/>
    <n v="13"/>
    <n v="64"/>
    <n v="4"/>
    <s v="Carrier C"/>
    <n v="6.5991049012385803"/>
    <x v="0"/>
    <s v="Kolkata"/>
    <n v="30"/>
    <n v="737"/>
    <n v="7"/>
    <n v="29.6924671537497"/>
    <s v="Pass"/>
    <n v="1.94603611938611"/>
    <x v="0"/>
    <s v="Route A"/>
    <n v="761.17390951487698"/>
    <n v="36.291572054988279"/>
    <n v="9535.2589152728215"/>
    <n v="0.99620839151368046"/>
    <n v="8.3333333333333332E-3"/>
  </r>
  <r>
    <x v="2"/>
    <s v="SKU33"/>
    <n v="64.795435000155607"/>
    <n v="63"/>
    <n v="616"/>
    <n v="5149.9983504080301"/>
    <s v="Non-binary"/>
    <n v="4"/>
    <n v="17"/>
    <n v="95"/>
    <n v="9"/>
    <s v="Carrier C"/>
    <n v="4.85827050343664"/>
    <x v="2"/>
    <s v="Chennai"/>
    <n v="1"/>
    <n v="251"/>
    <n v="23"/>
    <n v="23.853427512896101"/>
    <s v="Fail"/>
    <n v="3.54104601225092"/>
    <x v="3"/>
    <s v="Route A"/>
    <n v="371.25529551987103"/>
    <n v="28.71169801633274"/>
    <n v="5121.2866523916973"/>
    <n v="0.99442491122078558"/>
    <n v="0.1111111111111111"/>
  </r>
  <r>
    <x v="1"/>
    <s v="SKU34"/>
    <n v="37.467592329842397"/>
    <n v="96"/>
    <n v="602"/>
    <n v="9061.7108955077201"/>
    <s v="Unknown"/>
    <n v="1"/>
    <n v="26"/>
    <n v="21"/>
    <n v="7"/>
    <s v="Carrier A"/>
    <n v="1.0194875708221101"/>
    <x v="1"/>
    <s v="Chennai"/>
    <n v="4"/>
    <n v="452"/>
    <n v="10"/>
    <n v="10.754272815029299"/>
    <s v="Pass"/>
    <n v="0.64660455937205397"/>
    <x v="0"/>
    <s v="Route B"/>
    <n v="510.35800043352299"/>
    <n v="11.773760385851409"/>
    <n v="9049.9371351218688"/>
    <n v="0.99870071330661325"/>
    <n v="3.5714285714285712E-2"/>
  </r>
  <r>
    <x v="2"/>
    <s v="SKU35"/>
    <n v="84.957786816350406"/>
    <n v="11"/>
    <n v="449"/>
    <n v="6541.3293448024597"/>
    <s v="Female"/>
    <n v="42"/>
    <n v="27"/>
    <n v="85"/>
    <n v="8"/>
    <s v="Carrier C"/>
    <n v="5.2881899903273997"/>
    <x v="1"/>
    <s v="Delhi"/>
    <n v="3"/>
    <n v="367"/>
    <n v="2"/>
    <n v="58.004787044743701"/>
    <s v="Pass"/>
    <n v="0.54115409806058101"/>
    <x v="3"/>
    <s v="Route C"/>
    <n v="553.42047123035502"/>
    <n v="63.292977035071104"/>
    <n v="6478.0363677673886"/>
    <n v="0.99032414151637815"/>
    <n v="4.1666666666666664E-2"/>
  </r>
  <r>
    <x v="1"/>
    <s v="SKU36"/>
    <n v="9.81300257875405"/>
    <n v="34"/>
    <n v="963"/>
    <n v="7573.4024578487297"/>
    <s v="Female"/>
    <n v="18"/>
    <n v="23"/>
    <n v="28"/>
    <n v="3"/>
    <s v="Carrier B"/>
    <n v="2.1079512671590801"/>
    <x v="4"/>
    <s v="Delhi"/>
    <n v="26"/>
    <n v="671"/>
    <n v="19"/>
    <n v="45.531364237162101"/>
    <s v="Fail"/>
    <n v="3.8055333792433501"/>
    <x v="1"/>
    <s v="Route C"/>
    <n v="403.80897424817999"/>
    <n v="47.639315504321182"/>
    <n v="7525.7631423444082"/>
    <n v="0.99370965483883"/>
    <n v="1.282051282051282E-2"/>
  </r>
  <r>
    <x v="1"/>
    <s v="SKU37"/>
    <n v="23.3998447526143"/>
    <n v="5"/>
    <n v="963"/>
    <n v="2438.3399304700201"/>
    <s v="Female"/>
    <n v="25"/>
    <n v="8"/>
    <n v="21"/>
    <n v="9"/>
    <s v="Carrier A"/>
    <n v="1.53265527359043"/>
    <x v="0"/>
    <s v="Kolkata"/>
    <n v="24"/>
    <n v="867"/>
    <n v="15"/>
    <n v="34.343277465075303"/>
    <s v="Pending"/>
    <n v="2.61028808484811"/>
    <x v="3"/>
    <s v="Route A"/>
    <n v="183.932968043594"/>
    <n v="35.875932738665732"/>
    <n v="2402.4639977313545"/>
    <n v="0.98528673861656768"/>
    <n v="4.6296296296296294E-3"/>
  </r>
  <r>
    <x v="2"/>
    <s v="SKU38"/>
    <n v="52.075930682707799"/>
    <n v="75"/>
    <n v="705"/>
    <n v="9692.3180402184298"/>
    <s v="Non-binary"/>
    <n v="69"/>
    <n v="1"/>
    <n v="88"/>
    <n v="5"/>
    <s v="Carrier B"/>
    <n v="9.2359314372492207"/>
    <x v="2"/>
    <s v="Mumbai"/>
    <n v="10"/>
    <n v="841"/>
    <n v="12"/>
    <n v="5.9306936455283097"/>
    <s v="Pending"/>
    <n v="0.613326899164507"/>
    <x v="1"/>
    <s v="Route B"/>
    <n v="339.67286994860598"/>
    <n v="15.16662508277753"/>
    <n v="9677.1514151356514"/>
    <n v="0.99843519114624135"/>
    <n v="0.02"/>
  </r>
  <r>
    <x v="1"/>
    <s v="SKU39"/>
    <n v="19.127477265823199"/>
    <n v="26"/>
    <n v="176"/>
    <n v="1912.4656631007599"/>
    <s v="Female"/>
    <n v="78"/>
    <n v="29"/>
    <n v="34"/>
    <n v="3"/>
    <s v="Carrier A"/>
    <n v="5.5625037788303802"/>
    <x v="4"/>
    <s v="Kolkata"/>
    <n v="30"/>
    <n v="791"/>
    <n v="6"/>
    <n v="9.0058074287816403"/>
    <s v="Fail"/>
    <n v="1.4519722039968099"/>
    <x v="1"/>
    <s v="Route B"/>
    <n v="653.67299455203295"/>
    <n v="14.56831120761202"/>
    <n v="1897.897351893148"/>
    <n v="0.9923824456100343"/>
    <n v="1.111111111111111E-2"/>
  </r>
  <r>
    <x v="1"/>
    <s v="SKU40"/>
    <n v="80.541424170940303"/>
    <n v="97"/>
    <n v="933"/>
    <n v="5724.9593504562599"/>
    <s v="Female"/>
    <n v="90"/>
    <n v="20"/>
    <n v="39"/>
    <n v="8"/>
    <s v="Carrier C"/>
    <n v="7.2295951397364702"/>
    <x v="1"/>
    <s v="Kolkata"/>
    <n v="18"/>
    <n v="793"/>
    <n v="1"/>
    <n v="88.179407104217404"/>
    <s v="Pending"/>
    <n v="4.2132694305865597"/>
    <x v="0"/>
    <s v="Route A"/>
    <n v="529.80872398069096"/>
    <n v="95.409002243953879"/>
    <n v="5629.5503482123058"/>
    <n v="0.98333455376650836"/>
    <n v="6.9444444444444441E-3"/>
  </r>
  <r>
    <x v="1"/>
    <s v="SKU41"/>
    <n v="99.113291615317095"/>
    <n v="35"/>
    <n v="556"/>
    <n v="5521.2052590109697"/>
    <s v="Female"/>
    <n v="64"/>
    <n v="19"/>
    <n v="38"/>
    <n v="8"/>
    <s v="Carrier B"/>
    <n v="5.7732637437666501"/>
    <x v="3"/>
    <s v="Chennai"/>
    <n v="18"/>
    <n v="892"/>
    <n v="7"/>
    <n v="95.332064548772493"/>
    <s v="Fail"/>
    <n v="4.5302262398259602E-2"/>
    <x v="3"/>
    <s v="Route A"/>
    <n v="275.52437113130901"/>
    <n v="101.10532829253914"/>
    <n v="5420.0999307184302"/>
    <n v="0.98168781569431263"/>
    <n v="6.9444444444444441E-3"/>
  </r>
  <r>
    <x v="1"/>
    <s v="SKU42"/>
    <n v="46.529167614516702"/>
    <n v="98"/>
    <n v="155"/>
    <n v="1839.60942585676"/>
    <s v="Female"/>
    <n v="22"/>
    <n v="27"/>
    <n v="57"/>
    <n v="4"/>
    <s v="Carrier C"/>
    <n v="7.5262483268515004"/>
    <x v="2"/>
    <s v="Bangalore"/>
    <n v="26"/>
    <n v="179"/>
    <n v="7"/>
    <n v="96.422820639571796"/>
    <s v="Fail"/>
    <n v="4.9392552886209398"/>
    <x v="0"/>
    <s v="Route A"/>
    <n v="635.65712050199102"/>
    <n v="103.9490689664233"/>
    <n v="1735.6603568903367"/>
    <n v="0.94349394632069183"/>
    <n v="9.6153846153846159E-3"/>
  </r>
  <r>
    <x v="0"/>
    <s v="SKU43"/>
    <n v="11.7432717763092"/>
    <n v="6"/>
    <n v="598"/>
    <n v="5737.4255991190203"/>
    <s v="Unknown"/>
    <n v="36"/>
    <n v="29"/>
    <n v="85"/>
    <n v="9"/>
    <s v="Carrier B"/>
    <n v="3.6940212683884499"/>
    <x v="2"/>
    <s v="Mumbai"/>
    <n v="1"/>
    <n v="206"/>
    <n v="23"/>
    <n v="26.2773659573324"/>
    <s v="Pending"/>
    <n v="0.37230476798509698"/>
    <x v="1"/>
    <s v="Route A"/>
    <n v="716.04411975933999"/>
    <n v="29.97138722572085"/>
    <n v="5707.4542118932995"/>
    <n v="0.99477616106597999"/>
    <n v="0.1111111111111111"/>
  </r>
  <r>
    <x v="2"/>
    <s v="SKU44"/>
    <n v="51.355790913110297"/>
    <n v="34"/>
    <n v="919"/>
    <n v="7152.28604943551"/>
    <s v="Female"/>
    <n v="13"/>
    <n v="19"/>
    <n v="72"/>
    <n v="6"/>
    <s v="Carrier C"/>
    <n v="7.5774496573766896"/>
    <x v="4"/>
    <s v="Delhi"/>
    <n v="7"/>
    <n v="834"/>
    <n v="18"/>
    <n v="22.554106620887701"/>
    <s v="Fail"/>
    <n v="2.9626263204548802"/>
    <x v="2"/>
    <s v="Route A"/>
    <n v="610.45326961922694"/>
    <n v="30.131556278264391"/>
    <n v="7122.1544931572453"/>
    <n v="0.99578714328957207"/>
    <n v="2.3809523809523808E-2"/>
  </r>
  <r>
    <x v="0"/>
    <s v="SKU45"/>
    <n v="33.784138033065503"/>
    <n v="1"/>
    <n v="24"/>
    <n v="5267.9568075105199"/>
    <s v="Male"/>
    <n v="93"/>
    <n v="7"/>
    <n v="52"/>
    <n v="6"/>
    <s v="Carrier B"/>
    <n v="5.2151550087119096"/>
    <x v="4"/>
    <s v="Chennai"/>
    <n v="25"/>
    <n v="794"/>
    <n v="25"/>
    <n v="66.312544439991598"/>
    <s v="Pass"/>
    <n v="3.2196046120841002"/>
    <x v="2"/>
    <s v="Route A"/>
    <n v="495.30569702847299"/>
    <n v="71.527699448703501"/>
    <n v="5196.4291080618168"/>
    <n v="0.98642211732891849"/>
    <n v="6.6666666666666662E-3"/>
  </r>
  <r>
    <x v="0"/>
    <s v="SKU46"/>
    <n v="27.082207199888899"/>
    <n v="75"/>
    <n v="859"/>
    <n v="2556.7673606335902"/>
    <s v="Non-binary"/>
    <n v="92"/>
    <n v="29"/>
    <n v="6"/>
    <n v="8"/>
    <s v="Carrier B"/>
    <n v="4.0709558370840799"/>
    <x v="0"/>
    <s v="Chennai"/>
    <n v="18"/>
    <n v="870"/>
    <n v="23"/>
    <n v="77.322353211051606"/>
    <s v="Pending"/>
    <n v="3.6486105925361998"/>
    <x v="0"/>
    <s v="Route B"/>
    <n v="380.43593711196399"/>
    <n v="81.393309048135691"/>
    <n v="2475.3740515854547"/>
    <n v="0.96816553969620234"/>
    <n v="6.9444444444444441E-3"/>
  </r>
  <r>
    <x v="1"/>
    <s v="SKU47"/>
    <n v="95.712135880936003"/>
    <n v="93"/>
    <n v="910"/>
    <n v="7089.4742499341801"/>
    <s v="Male"/>
    <n v="4"/>
    <n v="15"/>
    <n v="51"/>
    <n v="9"/>
    <s v="Carrier B"/>
    <n v="8.9787507559499709"/>
    <x v="1"/>
    <s v="Kolkata"/>
    <n v="10"/>
    <n v="964"/>
    <n v="20"/>
    <n v="19.7129929112936"/>
    <s v="Pending"/>
    <n v="0.38057358671321301"/>
    <x v="2"/>
    <s v="Route A"/>
    <n v="581.60235505058597"/>
    <n v="28.691743667243571"/>
    <n v="7060.7825062669363"/>
    <n v="0.99595290953098392"/>
    <n v="1.111111111111111E-2"/>
  </r>
  <r>
    <x v="0"/>
    <s v="SKU48"/>
    <n v="76.035544426891704"/>
    <n v="28"/>
    <n v="29"/>
    <n v="7397.0710045871801"/>
    <s v="Non-binary"/>
    <n v="30"/>
    <n v="16"/>
    <n v="9"/>
    <n v="3"/>
    <s v="Carrier C"/>
    <n v="7.0958331565551296"/>
    <x v="4"/>
    <s v="Mumbai"/>
    <n v="9"/>
    <n v="109"/>
    <n v="18"/>
    <n v="23.126363582464698"/>
    <s v="Fail"/>
    <n v="1.6981125407144"/>
    <x v="2"/>
    <s v="Route B"/>
    <n v="768.65191395437"/>
    <n v="30.222196739019829"/>
    <n v="7366.8488078481605"/>
    <n v="0.9959143021987652"/>
    <n v="3.7037037037037035E-2"/>
  </r>
  <r>
    <x v="2"/>
    <s v="SKU49"/>
    <n v="78.897913205639995"/>
    <n v="19"/>
    <n v="99"/>
    <n v="8001.6132065190004"/>
    <s v="Unknown"/>
    <n v="97"/>
    <n v="24"/>
    <n v="9"/>
    <n v="6"/>
    <s v="Carrier C"/>
    <n v="2.5056210329009101"/>
    <x v="2"/>
    <s v="Delhi"/>
    <n v="28"/>
    <n v="177"/>
    <n v="28"/>
    <n v="14.1478154439792"/>
    <s v="Pass"/>
    <n v="2.8258139854001301"/>
    <x v="2"/>
    <s v="Route A"/>
    <n v="336.89016851997701"/>
    <n v="16.65343647688011"/>
    <n v="7984.95977004212"/>
    <n v="0.99791874012813908"/>
    <n v="5.9523809523809521E-3"/>
  </r>
  <r>
    <x v="2"/>
    <s v="SKU50"/>
    <n v="14.203484264803"/>
    <n v="91"/>
    <n v="633"/>
    <n v="5910.8853896688897"/>
    <s v="Female"/>
    <n v="31"/>
    <n v="23"/>
    <n v="82"/>
    <n v="10"/>
    <s v="Carrier A"/>
    <n v="6.2478609149759903"/>
    <x v="4"/>
    <s v="Delhi"/>
    <n v="20"/>
    <n v="306"/>
    <n v="21"/>
    <n v="45.178757924634503"/>
    <s v="Fail"/>
    <n v="4.7548008046711798"/>
    <x v="2"/>
    <s v="Route B"/>
    <n v="496.24865029194001"/>
    <n v="51.426618839610491"/>
    <n v="5859.4587708292793"/>
    <n v="0.99129967586082879"/>
    <n v="5.0000000000000001E-3"/>
  </r>
  <r>
    <x v="0"/>
    <s v="SKU51"/>
    <n v="26.700760972461701"/>
    <n v="61"/>
    <n v="154"/>
    <n v="9866.4654579796897"/>
    <s v="Male"/>
    <n v="100"/>
    <n v="4"/>
    <n v="52"/>
    <n v="1"/>
    <s v="Carrier A"/>
    <n v="4.78300055794766"/>
    <x v="2"/>
    <s v="Bangalore"/>
    <n v="18"/>
    <n v="673"/>
    <n v="28"/>
    <n v="14.190328344569901"/>
    <s v="Pending"/>
    <n v="1.77295117208355"/>
    <x v="0"/>
    <s v="Route A"/>
    <n v="694.98231757944495"/>
    <n v="18.973328902517562"/>
    <n v="9847.4921290771726"/>
    <n v="0.99807698826055569"/>
    <n v="5.5555555555555552E-2"/>
  </r>
  <r>
    <x v="1"/>
    <s v="SKU52"/>
    <n v="98.031829656465007"/>
    <n v="1"/>
    <n v="820"/>
    <n v="9435.7626089121295"/>
    <s v="Male"/>
    <n v="64"/>
    <n v="11"/>
    <n v="11"/>
    <n v="1"/>
    <s v="Carrier B"/>
    <n v="8.6310521797689397"/>
    <x v="1"/>
    <s v="Mumbai"/>
    <n v="10"/>
    <n v="727"/>
    <n v="27"/>
    <n v="9.1668491485971497"/>
    <s v="Pending"/>
    <n v="2.1224716191438202"/>
    <x v="1"/>
    <s v="Route C"/>
    <n v="602.89849883838303"/>
    <n v="17.797901328366088"/>
    <n v="9417.9647075837638"/>
    <n v="0.99811378241843907"/>
    <n v="0.1"/>
  </r>
  <r>
    <x v="1"/>
    <s v="SKU53"/>
    <n v="30.3414707112142"/>
    <n v="93"/>
    <n v="242"/>
    <n v="8232.3348294258194"/>
    <s v="Male"/>
    <n v="96"/>
    <n v="25"/>
    <n v="54"/>
    <n v="3"/>
    <s v="Carrier B"/>
    <n v="1.0134865660958901"/>
    <x v="1"/>
    <s v="Delhi"/>
    <n v="1"/>
    <n v="631"/>
    <n v="17"/>
    <n v="83.344058991677898"/>
    <s v="Pending"/>
    <n v="1.41034757607602"/>
    <x v="1"/>
    <s v="Route B"/>
    <n v="750.73784066827"/>
    <n v="84.35754555777379"/>
    <n v="8147.9772838680456"/>
    <n v="0.98975290153939743"/>
    <n v="0.33333333333333331"/>
  </r>
  <r>
    <x v="0"/>
    <s v="SKU54"/>
    <n v="31.1462431602408"/>
    <n v="11"/>
    <n v="622"/>
    <n v="6088.0214799408504"/>
    <s v="Non-binary"/>
    <n v="33"/>
    <n v="22"/>
    <n v="61"/>
    <n v="3"/>
    <s v="Carrier B"/>
    <n v="4.3051034712876302"/>
    <x v="1"/>
    <s v="Kolkata"/>
    <n v="26"/>
    <n v="497"/>
    <n v="29"/>
    <n v="30.186023375822501"/>
    <s v="Pass"/>
    <n v="2.4787719755397402"/>
    <x v="0"/>
    <s v="Route B"/>
    <n v="814.06999658218695"/>
    <n v="34.491126847110131"/>
    <n v="6053.5303530937399"/>
    <n v="0.9943345917945996"/>
    <n v="1.282051282051282E-2"/>
  </r>
  <r>
    <x v="0"/>
    <s v="SKU55"/>
    <n v="79.855058340789398"/>
    <n v="16"/>
    <n v="701"/>
    <n v="2925.6751703038099"/>
    <s v="Male"/>
    <n v="97"/>
    <n v="11"/>
    <n v="11"/>
    <n v="5"/>
    <s v="Carrier A"/>
    <n v="5.0143649550309002"/>
    <x v="4"/>
    <s v="Delhi"/>
    <n v="27"/>
    <n v="918"/>
    <n v="5"/>
    <n v="30.323545256616502"/>
    <s v="Fail"/>
    <n v="4.5489196593963799"/>
    <x v="3"/>
    <s v="Route B"/>
    <n v="323.01292795247798"/>
    <n v="35.337910211647404"/>
    <n v="2890.3372600921625"/>
    <n v="0.98792145123616792"/>
    <n v="7.4074074074074077E-3"/>
  </r>
  <r>
    <x v="1"/>
    <s v="SKU56"/>
    <n v="20.9863860370433"/>
    <n v="90"/>
    <n v="93"/>
    <n v="4767.0204843441297"/>
    <s v="Non-binary"/>
    <n v="25"/>
    <n v="23"/>
    <n v="83"/>
    <n v="5"/>
    <s v="Carrier C"/>
    <n v="1.77442971407173"/>
    <x v="1"/>
    <s v="Mumbai"/>
    <n v="24"/>
    <n v="826"/>
    <n v="28"/>
    <n v="12.8362845728327"/>
    <s v="Pass"/>
    <n v="1.1737554953874501"/>
    <x v="1"/>
    <s v="Route B"/>
    <n v="832.210808706021"/>
    <n v="14.610714286904429"/>
    <n v="4752.4097700572256"/>
    <n v="0.99693504268863775"/>
    <n v="8.3333333333333332E-3"/>
  </r>
  <r>
    <x v="0"/>
    <s v="SKU57"/>
    <n v="49.263205350734097"/>
    <n v="65"/>
    <n v="227"/>
    <n v="1605.8669003924001"/>
    <s v="Unknown"/>
    <n v="5"/>
    <n v="18"/>
    <n v="51"/>
    <n v="1"/>
    <s v="Carrier B"/>
    <n v="9.1605585353818704"/>
    <x v="4"/>
    <s v="Delhi"/>
    <n v="21"/>
    <n v="588"/>
    <n v="25"/>
    <n v="67.779622987078099"/>
    <s v="Pending"/>
    <n v="2.5111748302126999"/>
    <x v="2"/>
    <s v="Route A"/>
    <n v="482.19123860252802"/>
    <n v="76.940181522459966"/>
    <n v="1528.92671886994"/>
    <n v="0.95208807062175616"/>
    <n v="4.7619047619047616E-2"/>
  </r>
  <r>
    <x v="1"/>
    <s v="SKU58"/>
    <n v="59.841561377289302"/>
    <n v="81"/>
    <n v="896"/>
    <n v="2021.1498103371"/>
    <s v="Non-binary"/>
    <n v="10"/>
    <n v="5"/>
    <n v="44"/>
    <n v="7"/>
    <s v="Carrier A"/>
    <n v="4.9384385647120901"/>
    <x v="0"/>
    <s v="Delhi"/>
    <n v="18"/>
    <n v="396"/>
    <n v="7"/>
    <n v="65.047415094691402"/>
    <s v="Fail"/>
    <n v="1.7303747198591899"/>
    <x v="0"/>
    <s v="Route B"/>
    <n v="110.364335231364"/>
    <n v="69.985853659403489"/>
    <n v="1951.1639566776964"/>
    <n v="0.96537324779120115"/>
    <n v="7.9365079365079361E-3"/>
  </r>
  <r>
    <x v="2"/>
    <s v="SKU59"/>
    <n v="63.828398347710902"/>
    <n v="30"/>
    <n v="484"/>
    <n v="1061.6185230132801"/>
    <s v="Non-binary"/>
    <n v="100"/>
    <n v="16"/>
    <n v="26"/>
    <n v="7"/>
    <s v="Carrier B"/>
    <n v="7.2937225968677204"/>
    <x v="1"/>
    <s v="Kolkata"/>
    <n v="11"/>
    <n v="176"/>
    <n v="4"/>
    <n v="1.90076224351945"/>
    <s v="Fail"/>
    <n v="0.44719401546382298"/>
    <x v="1"/>
    <s v="Route A"/>
    <n v="312.57427361009297"/>
    <n v="9.1944848403871706"/>
    <n v="1052.424038172893"/>
    <n v="0.99133918197443505"/>
    <n v="1.2987012987012986E-2"/>
  </r>
  <r>
    <x v="1"/>
    <s v="SKU60"/>
    <n v="17.028027920188698"/>
    <n v="16"/>
    <n v="380"/>
    <n v="8864.0843495864301"/>
    <s v="Female"/>
    <n v="41"/>
    <n v="27"/>
    <n v="72"/>
    <n v="8"/>
    <s v="Carrier C"/>
    <n v="4.3813681581023101"/>
    <x v="3"/>
    <s v="Mumbai"/>
    <n v="29"/>
    <n v="929"/>
    <n v="24"/>
    <n v="87.213057815135599"/>
    <s v="Fail"/>
    <n v="2.8530906166490499"/>
    <x v="2"/>
    <s v="Route A"/>
    <n v="430.16909697513597"/>
    <n v="91.594425973237904"/>
    <n v="8772.4899236131914"/>
    <n v="0.98966679215123754"/>
    <n v="4.3103448275862068E-3"/>
  </r>
  <r>
    <x v="0"/>
    <s v="SKU61"/>
    <n v="52.028749903294901"/>
    <n v="23"/>
    <n v="117"/>
    <n v="6885.5893508962499"/>
    <s v="Unknown"/>
    <n v="32"/>
    <n v="23"/>
    <n v="36"/>
    <n v="7"/>
    <s v="Carrier C"/>
    <n v="9.0303404225219399"/>
    <x v="3"/>
    <s v="Kolkata"/>
    <n v="14"/>
    <n v="480"/>
    <n v="12"/>
    <n v="78.702393968878894"/>
    <s v="Fail"/>
    <n v="4.3674705382050503"/>
    <x v="1"/>
    <s v="Route A"/>
    <n v="164.366528243419"/>
    <n v="87.73273439140084"/>
    <n v="6797.8566165048487"/>
    <n v="0.98725850033737761"/>
    <n v="1.020408163265306E-2"/>
  </r>
  <r>
    <x v="2"/>
    <s v="SKU62"/>
    <n v="72.796353955587307"/>
    <n v="89"/>
    <n v="270"/>
    <n v="3899.7468337292198"/>
    <s v="Unknown"/>
    <n v="86"/>
    <n v="2"/>
    <n v="40"/>
    <n v="7"/>
    <s v="Carrier C"/>
    <n v="7.2917013887767697"/>
    <x v="4"/>
    <s v="Mumbai"/>
    <n v="13"/>
    <n v="751"/>
    <n v="14"/>
    <n v="21.048642725168602"/>
    <s v="Pass"/>
    <n v="1.87400140404437"/>
    <x v="3"/>
    <s v="Route C"/>
    <n v="320.84651575911101"/>
    <n v="28.34034411394537"/>
    <n v="3871.4064896152745"/>
    <n v="0.99273277335112442"/>
    <n v="1.0989010989010988E-2"/>
  </r>
  <r>
    <x v="1"/>
    <s v="SKU63"/>
    <n v="13.0173767852878"/>
    <n v="55"/>
    <n v="246"/>
    <n v="4256.9491408502199"/>
    <s v="Non-binary"/>
    <n v="54"/>
    <n v="19"/>
    <n v="10"/>
    <n v="4"/>
    <s v="Carrier A"/>
    <n v="2.45793352798733"/>
    <x v="0"/>
    <s v="Bangalore"/>
    <n v="18"/>
    <n v="736"/>
    <n v="10"/>
    <n v="20.075003975630398"/>
    <s v="Pending"/>
    <n v="3.6328432903821302"/>
    <x v="3"/>
    <s v="Route A"/>
    <n v="687.28617786641701"/>
    <n v="22.532937503617728"/>
    <n v="4234.4162033466018"/>
    <n v="0.99470678724173867"/>
    <n v="1.3888888888888888E-2"/>
  </r>
  <r>
    <x v="1"/>
    <s v="SKU64"/>
    <n v="89.634095608135297"/>
    <n v="11"/>
    <n v="134"/>
    <n v="8458.7308783671706"/>
    <s v="Female"/>
    <n v="73"/>
    <n v="27"/>
    <n v="75"/>
    <n v="6"/>
    <s v="Carrier C"/>
    <n v="4.5853534681946497"/>
    <x v="1"/>
    <s v="Delhi"/>
    <n v="17"/>
    <n v="328"/>
    <n v="6"/>
    <n v="8.6930424258772803"/>
    <s v="Fail"/>
    <n v="0.15948631471751401"/>
    <x v="1"/>
    <s v="Route C"/>
    <n v="771.225084681157"/>
    <n v="13.278395894071931"/>
    <n v="8445.4524824730979"/>
    <n v="0.99843021416746669"/>
    <n v="9.8039215686274508E-3"/>
  </r>
  <r>
    <x v="1"/>
    <s v="SKU65"/>
    <n v="33.697717206643098"/>
    <n v="72"/>
    <n v="457"/>
    <n v="8354.5796864819895"/>
    <s v="Male"/>
    <n v="57"/>
    <n v="24"/>
    <n v="54"/>
    <n v="8"/>
    <s v="Carrier C"/>
    <n v="6.5805413478845898"/>
    <x v="2"/>
    <s v="Kolkata"/>
    <n v="16"/>
    <n v="358"/>
    <n v="21"/>
    <n v="1.59722274305067"/>
    <s v="Fail"/>
    <n v="4.9110959548423301"/>
    <x v="2"/>
    <s v="Route C"/>
    <n v="555.85910367174301"/>
    <n v="8.1777640909352591"/>
    <n v="8346.4019223910545"/>
    <n v="0.99902116391274998"/>
    <n v="7.8125E-3"/>
  </r>
  <r>
    <x v="1"/>
    <s v="SKU66"/>
    <n v="26.034869773962001"/>
    <n v="52"/>
    <n v="704"/>
    <n v="8367.7216180201503"/>
    <s v="Female"/>
    <n v="13"/>
    <n v="17"/>
    <n v="19"/>
    <n v="8"/>
    <s v="Carrier A"/>
    <n v="2.2161427287713602"/>
    <x v="2"/>
    <s v="Kolkata"/>
    <n v="24"/>
    <n v="867"/>
    <n v="28"/>
    <n v="42.084436738309897"/>
    <s v="Fail"/>
    <n v="3.44806328834026"/>
    <x v="0"/>
    <s v="Route A"/>
    <n v="393.84334857842703"/>
    <n v="44.300579467081256"/>
    <n v="8323.4210385530696"/>
    <n v="0.99470577757131906"/>
    <n v="5.208333333333333E-3"/>
  </r>
  <r>
    <x v="1"/>
    <s v="SKU67"/>
    <n v="87.755432354001002"/>
    <n v="16"/>
    <n v="513"/>
    <n v="9473.7980325083299"/>
    <s v="Unknown"/>
    <n v="12"/>
    <n v="9"/>
    <n v="71"/>
    <n v="9"/>
    <s v="Carrier C"/>
    <n v="9.1478115447106294"/>
    <x v="1"/>
    <s v="Mumbai"/>
    <n v="10"/>
    <n v="198"/>
    <n v="11"/>
    <n v="7.0578761469782298"/>
    <s v="Pass"/>
    <n v="0.131955444311814"/>
    <x v="3"/>
    <s v="Route C"/>
    <n v="169.27180138478599"/>
    <n v="16.205687691688858"/>
    <n v="9457.5923448166413"/>
    <n v="0.99828942018437794"/>
    <n v="1.111111111111111E-2"/>
  </r>
  <r>
    <x v="0"/>
    <s v="SKU68"/>
    <n v="37.931812382790298"/>
    <n v="29"/>
    <n v="163"/>
    <n v="3550.21843278099"/>
    <s v="Non-binary"/>
    <n v="0"/>
    <n v="8"/>
    <n v="58"/>
    <n v="8"/>
    <s v="Carrier B"/>
    <n v="1.19425186488499"/>
    <x v="4"/>
    <s v="Bangalore"/>
    <n v="2"/>
    <n v="375"/>
    <n v="18"/>
    <n v="97.113581563462205"/>
    <s v="Fail"/>
    <n v="1.9834678721741801"/>
    <x v="2"/>
    <s v="Route A"/>
    <n v="299.70630311810299"/>
    <n v="98.307833428347195"/>
    <n v="3451.9105993526427"/>
    <n v="0.9723093563706896"/>
    <n v="6.25E-2"/>
  </r>
  <r>
    <x v="1"/>
    <s v="SKU69"/>
    <n v="54.865528517069698"/>
    <n v="62"/>
    <n v="511"/>
    <n v="1752.3810874841199"/>
    <s v="Non-binary"/>
    <n v="95"/>
    <n v="1"/>
    <n v="27"/>
    <n v="3"/>
    <s v="Carrier B"/>
    <n v="9.7052867901203399"/>
    <x v="3"/>
    <s v="Kolkata"/>
    <n v="9"/>
    <n v="862"/>
    <n v="7"/>
    <n v="77.627765812748095"/>
    <s v="Pending"/>
    <n v="1.3623879886490999"/>
    <x v="1"/>
    <s v="Route A"/>
    <n v="207.66320620857499"/>
    <n v="87.333052602868435"/>
    <n v="1665.0480348812514"/>
    <n v="0.95016320751997396"/>
    <n v="3.7037037037037035E-2"/>
  </r>
  <r>
    <x v="0"/>
    <s v="SKU70"/>
    <n v="47.914541824058702"/>
    <n v="90"/>
    <n v="32"/>
    <n v="7014.8879872033804"/>
    <s v="Female"/>
    <n v="10"/>
    <n v="12"/>
    <n v="22"/>
    <n v="4"/>
    <s v="Carrier B"/>
    <n v="6.3157177546007199"/>
    <x v="1"/>
    <s v="Bangalore"/>
    <n v="22"/>
    <n v="775"/>
    <n v="16"/>
    <n v="11.440781823761199"/>
    <s v="Pass"/>
    <n v="1.8305755986122301"/>
    <x v="0"/>
    <s v="Route C"/>
    <n v="183.27289874871099"/>
    <n v="17.756499578361918"/>
    <n v="6997.1314876250181"/>
    <n v="0.99746874082512027"/>
    <n v="1.1363636363636364E-2"/>
  </r>
  <r>
    <x v="2"/>
    <s v="SKU71"/>
    <n v="6.3815331627479601"/>
    <n v="14"/>
    <n v="637"/>
    <n v="8180.3370854254399"/>
    <s v="Female"/>
    <n v="76"/>
    <n v="2"/>
    <n v="26"/>
    <n v="6"/>
    <s v="Carrier A"/>
    <n v="9.2281903170525101"/>
    <x v="4"/>
    <s v="Bangalore"/>
    <n v="2"/>
    <n v="258"/>
    <n v="10"/>
    <n v="30.661677477859499"/>
    <s v="Pending"/>
    <n v="2.07875060787496"/>
    <x v="0"/>
    <s v="Route A"/>
    <n v="405.167067888855"/>
    <n v="39.889867794912007"/>
    <n v="8140.447217630528"/>
    <n v="0.99512368899003167"/>
    <n v="8.3333333333333329E-2"/>
  </r>
  <r>
    <x v="2"/>
    <s v="SKU72"/>
    <n v="90.204427520528"/>
    <n v="88"/>
    <n v="478"/>
    <n v="2633.1219813122498"/>
    <s v="Non-binary"/>
    <n v="57"/>
    <n v="29"/>
    <n v="77"/>
    <n v="9"/>
    <s v="Carrier A"/>
    <n v="6.5996141596895397"/>
    <x v="1"/>
    <s v="Bangalore"/>
    <n v="21"/>
    <n v="152"/>
    <n v="11"/>
    <n v="55.760492895244198"/>
    <s v="Pending"/>
    <n v="3.2133296074383"/>
    <x v="2"/>
    <s v="Route B"/>
    <n v="677.94456984618296"/>
    <n v="62.360107054933735"/>
    <n v="2570.7618742573159"/>
    <n v="0.97631704588791746"/>
    <n v="5.2910052910052907E-3"/>
  </r>
  <r>
    <x v="2"/>
    <s v="SKU73"/>
    <n v="83.851017681304597"/>
    <n v="41"/>
    <n v="375"/>
    <n v="7910.8869161406801"/>
    <s v="Male"/>
    <n v="17"/>
    <n v="25"/>
    <n v="66"/>
    <n v="5"/>
    <s v="Carrier B"/>
    <n v="1.5129368369160701"/>
    <x v="3"/>
    <s v="Chennai"/>
    <n v="13"/>
    <n v="444"/>
    <n v="4"/>
    <n v="46.870238797617098"/>
    <s v="Fail"/>
    <n v="4.6205460645137002"/>
    <x v="0"/>
    <s v="Route A"/>
    <n v="866.472800129657"/>
    <n v="48.383175634533167"/>
    <n v="7862.5037405061466"/>
    <n v="0.99388397582377053"/>
    <n v="1.5384615384615385E-2"/>
  </r>
  <r>
    <x v="0"/>
    <s v="SKU74"/>
    <n v="3.1700114135661499"/>
    <n v="64"/>
    <n v="904"/>
    <n v="5709.9452959692799"/>
    <s v="Female"/>
    <n v="41"/>
    <n v="6"/>
    <n v="1"/>
    <n v="5"/>
    <s v="Carrier A"/>
    <n v="5.2376546500374399"/>
    <x v="3"/>
    <s v="Delhi"/>
    <n v="1"/>
    <n v="919"/>
    <n v="9"/>
    <n v="80.580852156447804"/>
    <s v="Fail"/>
    <n v="0.39661272410993498"/>
    <x v="2"/>
    <s v="Route A"/>
    <n v="341.55265678322297"/>
    <n v="85.818506806485246"/>
    <n v="5624.1267891627949"/>
    <n v="0.98497034518578219"/>
    <n v="0.2"/>
  </r>
  <r>
    <x v="1"/>
    <s v="SKU75"/>
    <n v="92.996884233970604"/>
    <n v="29"/>
    <n v="106"/>
    <n v="1889.07358977933"/>
    <s v="Non-binary"/>
    <n v="16"/>
    <n v="20"/>
    <n v="56"/>
    <n v="10"/>
    <s v="Carrier C"/>
    <n v="2.47389776104546"/>
    <x v="1"/>
    <s v="Chennai"/>
    <n v="25"/>
    <n v="759"/>
    <n v="11"/>
    <n v="48.064782640006499"/>
    <s v="Pass"/>
    <n v="2.0300690886687498"/>
    <x v="1"/>
    <s v="Route C"/>
    <n v="873.12964801765099"/>
    <n v="50.538680401051955"/>
    <n v="1838.5349093782779"/>
    <n v="0.97324684402212425"/>
    <n v="4.0000000000000001E-3"/>
  </r>
  <r>
    <x v="0"/>
    <s v="SKU76"/>
    <n v="69.108799547430294"/>
    <n v="23"/>
    <n v="241"/>
    <n v="5328.3759842977497"/>
    <s v="Male"/>
    <n v="38"/>
    <n v="1"/>
    <n v="22"/>
    <n v="10"/>
    <s v="Carrier A"/>
    <n v="7.0545383368369201"/>
    <x v="4"/>
    <s v="Bangalore"/>
    <n v="25"/>
    <n v="985"/>
    <n v="24"/>
    <n v="64.323597795600193"/>
    <s v="Pending"/>
    <n v="2.1800374515822099"/>
    <x v="2"/>
    <s v="Route A"/>
    <n v="997.41345013319403"/>
    <n v="71.378136132437106"/>
    <n v="5256.9978481653125"/>
    <n v="0.98660414799128626"/>
    <n v="4.0000000000000001E-3"/>
  </r>
  <r>
    <x v="0"/>
    <s v="SKU77"/>
    <n v="57.449742958971399"/>
    <n v="14"/>
    <n v="359"/>
    <n v="2483.7601775427902"/>
    <s v="Unknown"/>
    <n v="96"/>
    <n v="28"/>
    <n v="57"/>
    <n v="4"/>
    <s v="Carrier B"/>
    <n v="6.7809466256178901"/>
    <x v="1"/>
    <s v="Kolkata"/>
    <n v="26"/>
    <n v="334"/>
    <n v="5"/>
    <n v="42.952444748991802"/>
    <s v="Pass"/>
    <n v="3.0551418183075398"/>
    <x v="0"/>
    <s v="Route B"/>
    <n v="852.56809891984994"/>
    <n v="49.733391374609695"/>
    <n v="2434.0267861681805"/>
    <n v="0.9799765726883457"/>
    <n v="9.6153846153846159E-3"/>
  </r>
  <r>
    <x v="0"/>
    <s v="SKU78"/>
    <n v="6.30688317611191"/>
    <n v="50"/>
    <n v="946"/>
    <n v="1292.45841793775"/>
    <s v="Unknown"/>
    <n v="5"/>
    <n v="4"/>
    <n v="51"/>
    <n v="5"/>
    <s v="Carrier B"/>
    <n v="8.4670497708619905"/>
    <x v="2"/>
    <s v="Mumbai"/>
    <n v="25"/>
    <n v="858"/>
    <n v="21"/>
    <n v="71.126514720403307"/>
    <s v="Pending"/>
    <n v="4.0968813324704501"/>
    <x v="3"/>
    <s v="Route C"/>
    <n v="323.59220343132199"/>
    <n v="79.593564491265298"/>
    <n v="1212.8648534464846"/>
    <n v="0.93841692437713775"/>
    <n v="8.0000000000000002E-3"/>
  </r>
  <r>
    <x v="0"/>
    <s v="SKU79"/>
    <n v="57.057031221103202"/>
    <n v="56"/>
    <n v="198"/>
    <n v="7888.7232684270803"/>
    <s v="Non-binary"/>
    <n v="31"/>
    <n v="25"/>
    <n v="20"/>
    <n v="1"/>
    <s v="Carrier B"/>
    <n v="6.49632536429504"/>
    <x v="0"/>
    <s v="Bangalore"/>
    <n v="5"/>
    <n v="228"/>
    <n v="12"/>
    <n v="57.870902924036201"/>
    <s v="Pending"/>
    <n v="0.16587162748060799"/>
    <x v="1"/>
    <s v="Route C"/>
    <n v="351.50421933503799"/>
    <n v="64.367228288331248"/>
    <n v="7824.3560401387494"/>
    <n v="0.99184060257938733"/>
    <n v="0.2"/>
  </r>
  <r>
    <x v="1"/>
    <s v="SKU80"/>
    <n v="91.128318350444303"/>
    <n v="75"/>
    <n v="872"/>
    <n v="8651.67268298206"/>
    <s v="Unknown"/>
    <n v="39"/>
    <n v="14"/>
    <n v="41"/>
    <n v="2"/>
    <s v="Carrier C"/>
    <n v="2.8331846794189701"/>
    <x v="0"/>
    <s v="Chennai"/>
    <n v="8"/>
    <n v="202"/>
    <n v="5"/>
    <n v="76.961228023819999"/>
    <s v="Fail"/>
    <n v="2.8496621985053299"/>
    <x v="3"/>
    <s v="Route B"/>
    <n v="787.77985049434403"/>
    <n v="79.794412703238976"/>
    <n v="8571.8782702788212"/>
    <n v="0.99077699589118817"/>
    <n v="6.25E-2"/>
  </r>
  <r>
    <x v="0"/>
    <s v="SKU81"/>
    <n v="72.819206930318202"/>
    <n v="9"/>
    <n v="774"/>
    <n v="4384.4134000458598"/>
    <s v="Unknown"/>
    <n v="48"/>
    <n v="6"/>
    <n v="8"/>
    <n v="5"/>
    <s v="Carrier B"/>
    <n v="4.0662775015120403"/>
    <x v="0"/>
    <s v="Delhi"/>
    <n v="28"/>
    <n v="698"/>
    <n v="1"/>
    <n v="19.789592941903599"/>
    <s v="Pending"/>
    <n v="2.54754712154871"/>
    <x v="2"/>
    <s v="Route B"/>
    <n v="276.77833594679799"/>
    <n v="23.85587044341564"/>
    <n v="4360.5575296024444"/>
    <n v="0.9945589367911416"/>
    <n v="7.1428571428571435E-3"/>
  </r>
  <r>
    <x v="1"/>
    <s v="SKU82"/>
    <n v="17.034930739467899"/>
    <n v="13"/>
    <n v="336"/>
    <n v="2943.3818676094502"/>
    <s v="Unknown"/>
    <n v="42"/>
    <n v="19"/>
    <n v="72"/>
    <n v="1"/>
    <s v="Carrier A"/>
    <n v="4.7081818735419301"/>
    <x v="4"/>
    <s v="Mumbai"/>
    <n v="6"/>
    <n v="955"/>
    <n v="26"/>
    <n v="4.4652784349432402"/>
    <s v="Pending"/>
    <n v="4.1378770486223502"/>
    <x v="0"/>
    <s v="Route C"/>
    <n v="589.97855562804"/>
    <n v="9.1734603084851702"/>
    <n v="2934.2084073009651"/>
    <n v="0.99688336046048431"/>
    <n v="0.16666666666666666"/>
  </r>
  <r>
    <x v="0"/>
    <s v="SKU83"/>
    <n v="68.911246211606297"/>
    <n v="82"/>
    <n v="663"/>
    <n v="2411.7546321104901"/>
    <s v="Unknown"/>
    <n v="65"/>
    <n v="24"/>
    <n v="7"/>
    <n v="8"/>
    <s v="Carrier B"/>
    <n v="4.94983957799694"/>
    <x v="1"/>
    <s v="Bangalore"/>
    <n v="20"/>
    <n v="443"/>
    <n v="5"/>
    <n v="97.730593800533001"/>
    <s v="Fail"/>
    <n v="0.77300613406724705"/>
    <x v="0"/>
    <s v="Route A"/>
    <n v="682.97101822609295"/>
    <n v="102.68043337852994"/>
    <n v="2309.0741987319602"/>
    <n v="0.95742500832737043"/>
    <n v="6.2500000000000003E-3"/>
  </r>
  <r>
    <x v="0"/>
    <s v="SKU84"/>
    <n v="89.104367292102197"/>
    <n v="99"/>
    <n v="618"/>
    <n v="2048.2900998487098"/>
    <s v="Unknown"/>
    <n v="73"/>
    <n v="26"/>
    <n v="80"/>
    <n v="10"/>
    <s v="Carrier A"/>
    <n v="8.3816156249226292"/>
    <x v="2"/>
    <s v="Chennai"/>
    <n v="24"/>
    <n v="589"/>
    <n v="22"/>
    <n v="33.808636513209002"/>
    <s v="Pass"/>
    <n v="4.8434565771180402"/>
    <x v="1"/>
    <s v="Route B"/>
    <n v="465.45700596368698"/>
    <n v="42.190252138131633"/>
    <n v="2006.0998477105782"/>
    <n v="0.97940220863184957"/>
    <n v="4.1666666666666666E-3"/>
  </r>
  <r>
    <x v="2"/>
    <s v="SKU85"/>
    <n v="76.962994415193805"/>
    <n v="83"/>
    <n v="25"/>
    <n v="8684.6130592538502"/>
    <s v="Female"/>
    <n v="15"/>
    <n v="18"/>
    <n v="66"/>
    <n v="2"/>
    <s v="Carrier C"/>
    <n v="8.2491687048717193"/>
    <x v="2"/>
    <s v="Chennai"/>
    <n v="4"/>
    <n v="211"/>
    <n v="2"/>
    <n v="69.929345518672307"/>
    <s v="Fail"/>
    <n v="1.3744289997457499"/>
    <x v="0"/>
    <s v="Route B"/>
    <n v="842.68683000464102"/>
    <n v="78.178514223544028"/>
    <n v="8606.4345450303063"/>
    <n v="0.99099804289608029"/>
    <n v="0.125"/>
  </r>
  <r>
    <x v="1"/>
    <s v="SKU86"/>
    <n v="19.9981769404042"/>
    <n v="18"/>
    <n v="223"/>
    <n v="1229.59102856498"/>
    <s v="Unknown"/>
    <n v="32"/>
    <n v="14"/>
    <n v="22"/>
    <n v="6"/>
    <s v="Carrier B"/>
    <n v="1.4543053101535499"/>
    <x v="1"/>
    <s v="Mumbai"/>
    <n v="4"/>
    <n v="569"/>
    <n v="18"/>
    <n v="74.608969995194599"/>
    <s v="Pass"/>
    <n v="2.0515129307662399"/>
    <x v="2"/>
    <s v="Route A"/>
    <n v="264.25488983586598"/>
    <n v="76.063275305348142"/>
    <n v="1153.5277532596319"/>
    <n v="0.93813937029605743"/>
    <n v="4.1666666666666664E-2"/>
  </r>
  <r>
    <x v="0"/>
    <s v="SKU87"/>
    <n v="80.414036650355698"/>
    <n v="24"/>
    <n v="79"/>
    <n v="5133.8467010866898"/>
    <s v="Male"/>
    <n v="5"/>
    <n v="7"/>
    <n v="55"/>
    <n v="10"/>
    <s v="Carrier A"/>
    <n v="6.5758037975485299"/>
    <x v="0"/>
    <s v="Chennai"/>
    <n v="27"/>
    <n v="523"/>
    <n v="17"/>
    <n v="28.696996824143099"/>
    <s v="Fail"/>
    <n v="3.6937377878392699"/>
    <x v="3"/>
    <s v="Route B"/>
    <n v="879.35921773492396"/>
    <n v="35.27280062169163"/>
    <n v="5098.5739004649986"/>
    <n v="0.99312936231340432"/>
    <n v="3.7037037037037038E-3"/>
  </r>
  <r>
    <x v="2"/>
    <s v="SKU88"/>
    <n v="75.270406975724995"/>
    <n v="58"/>
    <n v="737"/>
    <n v="9444.7420330629793"/>
    <s v="Male"/>
    <n v="60"/>
    <n v="18"/>
    <n v="85"/>
    <n v="7"/>
    <s v="Carrier A"/>
    <n v="3.8012531329310701"/>
    <x v="4"/>
    <s v="Mumbai"/>
    <n v="21"/>
    <n v="953"/>
    <n v="11"/>
    <n v="68.1849190570411"/>
    <s v="Pending"/>
    <n v="0.722204401882931"/>
    <x v="3"/>
    <s v="Route A"/>
    <n v="103.916247960704"/>
    <n v="71.986172189972166"/>
    <n v="9372.7558608730069"/>
    <n v="0.99237817486830537"/>
    <n v="6.8027210884353739E-3"/>
  </r>
  <r>
    <x v="2"/>
    <s v="SKU89"/>
    <n v="97.760085581938597"/>
    <n v="10"/>
    <n v="134"/>
    <n v="5924.6825668532301"/>
    <s v="Unknown"/>
    <n v="90"/>
    <n v="1"/>
    <n v="27"/>
    <n v="8"/>
    <s v="Carrier B"/>
    <n v="9.9298162452772498"/>
    <x v="1"/>
    <s v="Kolkata"/>
    <n v="23"/>
    <n v="370"/>
    <n v="11"/>
    <n v="46.603873381644398"/>
    <s v="Pending"/>
    <n v="1.9076657339590699"/>
    <x v="2"/>
    <s v="Route B"/>
    <n v="517.49997392906005"/>
    <n v="56.53368962692165"/>
    <n v="5868.1488772263083"/>
    <n v="0.9904579377900834"/>
    <n v="5.434782608695652E-3"/>
  </r>
  <r>
    <x v="1"/>
    <s v="SKU90"/>
    <n v="13.881913501359101"/>
    <n v="56"/>
    <n v="320"/>
    <n v="9592.6335702803099"/>
    <s v="Non-binary"/>
    <n v="66"/>
    <n v="18"/>
    <n v="96"/>
    <n v="7"/>
    <s v="Carrier B"/>
    <n v="7.6744307081126903"/>
    <x v="0"/>
    <s v="Bangalore"/>
    <n v="8"/>
    <n v="585"/>
    <n v="8"/>
    <n v="85.675963335797903"/>
    <s v="Pass"/>
    <n v="1.2193822244013801"/>
    <x v="2"/>
    <s v="Route B"/>
    <n v="990.07847250581096"/>
    <n v="93.350394043910597"/>
    <n v="9499.2831762363985"/>
    <n v="0.99026853331152698"/>
    <n v="1.7857142857142856E-2"/>
  </r>
  <r>
    <x v="2"/>
    <s v="SKU91"/>
    <n v="62.111965463961702"/>
    <n v="90"/>
    <n v="916"/>
    <n v="1935.20679350759"/>
    <s v="Male"/>
    <n v="98"/>
    <n v="22"/>
    <n v="85"/>
    <n v="7"/>
    <s v="Carrier B"/>
    <n v="7.4715140844011403"/>
    <x v="3"/>
    <s v="Delhi"/>
    <n v="5"/>
    <n v="207"/>
    <n v="28"/>
    <n v="39.772882502339897"/>
    <s v="Pending"/>
    <n v="0.62600185820939402"/>
    <x v="2"/>
    <s v="Route B"/>
    <n v="996.77831495062298"/>
    <n v="47.24439658674104"/>
    <n v="1887.962396920849"/>
    <n v="0.97558690019834526"/>
    <n v="2.8571428571428571E-2"/>
  </r>
  <r>
    <x v="2"/>
    <s v="SKU92"/>
    <n v="47.714233075820196"/>
    <n v="44"/>
    <n v="276"/>
    <n v="2100.1297546259302"/>
    <s v="Male"/>
    <n v="90"/>
    <n v="25"/>
    <n v="10"/>
    <n v="8"/>
    <s v="Carrier B"/>
    <n v="4.4695000261236002"/>
    <x v="4"/>
    <s v="Mumbai"/>
    <n v="4"/>
    <n v="671"/>
    <n v="29"/>
    <n v="62.612690395614301"/>
    <s v="Pass"/>
    <n v="0.33343182522473902"/>
    <x v="2"/>
    <s v="Route B"/>
    <n v="230.092782536762"/>
    <n v="67.082190421737906"/>
    <n v="2033.0475642041922"/>
    <n v="0.96805807342428396"/>
    <n v="3.125E-2"/>
  </r>
  <r>
    <x v="0"/>
    <s v="SKU93"/>
    <n v="69.290831002905406"/>
    <n v="88"/>
    <n v="114"/>
    <n v="4531.4021336919004"/>
    <s v="Unknown"/>
    <n v="63"/>
    <n v="17"/>
    <n v="66"/>
    <n v="1"/>
    <s v="Carrier C"/>
    <n v="7.00643205900439"/>
    <x v="3"/>
    <s v="Chennai"/>
    <n v="21"/>
    <n v="824"/>
    <n v="20"/>
    <n v="35.633652343343797"/>
    <s v="Fail"/>
    <n v="4.1657817954241398"/>
    <x v="1"/>
    <s v="Route A"/>
    <n v="823.52384588815505"/>
    <n v="42.640084402348187"/>
    <n v="4488.7620492895521"/>
    <n v="0.99059009040815194"/>
    <n v="4.7619047619047616E-2"/>
  </r>
  <r>
    <x v="2"/>
    <s v="SKU94"/>
    <n v="3.0376887246314102"/>
    <n v="97"/>
    <n v="987"/>
    <n v="7888.3565466618702"/>
    <s v="Unknown"/>
    <n v="77"/>
    <n v="26"/>
    <n v="72"/>
    <n v="9"/>
    <s v="Carrier B"/>
    <n v="6.9429459420325799"/>
    <x v="4"/>
    <s v="Delhi"/>
    <n v="12"/>
    <n v="908"/>
    <n v="14"/>
    <n v="60.387378614862101"/>
    <s v="Pass"/>
    <n v="1.4636074984727701"/>
    <x v="2"/>
    <s v="Route B"/>
    <n v="846.66525698669398"/>
    <n v="67.330324556894681"/>
    <n v="7821.0262221049752"/>
    <n v="0.99146459415739929"/>
    <n v="9.2592592592592587E-3"/>
  </r>
  <r>
    <x v="0"/>
    <s v="SKU95"/>
    <n v="77.903927219447695"/>
    <n v="65"/>
    <n v="672"/>
    <n v="7386.3639440486604"/>
    <s v="Unknown"/>
    <n v="15"/>
    <n v="14"/>
    <n v="26"/>
    <n v="9"/>
    <s v="Carrier B"/>
    <n v="8.6303388696027508"/>
    <x v="3"/>
    <s v="Mumbai"/>
    <n v="18"/>
    <n v="450"/>
    <n v="26"/>
    <n v="58.890685768589897"/>
    <s v="Pending"/>
    <n v="1.21088212958506"/>
    <x v="1"/>
    <s v="Route A"/>
    <n v="778.86424137664699"/>
    <n v="67.521024638192642"/>
    <n v="7318.8429194104674"/>
    <n v="0.99085869242977176"/>
    <n v="6.1728395061728392E-3"/>
  </r>
  <r>
    <x v="2"/>
    <s v="SKU96"/>
    <n v="24.423131420373299"/>
    <n v="29"/>
    <n v="324"/>
    <n v="7698.4247656321104"/>
    <s v="Non-binary"/>
    <n v="67"/>
    <n v="2"/>
    <n v="32"/>
    <n v="3"/>
    <s v="Carrier C"/>
    <n v="5.3528780439967996"/>
    <x v="0"/>
    <s v="Mumbai"/>
    <n v="28"/>
    <n v="648"/>
    <n v="28"/>
    <n v="17.803756331391199"/>
    <s v="Pending"/>
    <n v="3.8720476814821301"/>
    <x v="0"/>
    <s v="Route A"/>
    <n v="188.74214114905601"/>
    <n v="23.156634375387998"/>
    <n v="7675.268131256722"/>
    <n v="0.99699202952807098"/>
    <n v="1.1904761904761904E-2"/>
  </r>
  <r>
    <x v="0"/>
    <s v="SKU97"/>
    <n v="3.5261112591434101"/>
    <n v="56"/>
    <n v="62"/>
    <n v="4370.9165799845296"/>
    <s v="Male"/>
    <n v="46"/>
    <n v="19"/>
    <n v="4"/>
    <n v="9"/>
    <s v="Carrier A"/>
    <n v="7.9048456112096703"/>
    <x v="3"/>
    <s v="Mumbai"/>
    <n v="10"/>
    <n v="535"/>
    <n v="13"/>
    <n v="65.765155926367399"/>
    <s v="Fail"/>
    <n v="3.3762378347179798"/>
    <x v="0"/>
    <s v="Route A"/>
    <n v="540.13242286796697"/>
    <n v="73.670001537577065"/>
    <n v="4297.2465784469523"/>
    <n v="0.98314541122222976"/>
    <n v="1.111111111111111E-2"/>
  </r>
  <r>
    <x v="1"/>
    <s v="SKU98"/>
    <n v="19.754604866878601"/>
    <n v="43"/>
    <n v="913"/>
    <n v="8525.9525596835192"/>
    <s v="Female"/>
    <n v="53"/>
    <n v="1"/>
    <n v="27"/>
    <n v="7"/>
    <s v="Carrier B"/>
    <n v="1.4098010951380699"/>
    <x v="2"/>
    <s v="Chennai"/>
    <n v="28"/>
    <n v="581"/>
    <n v="9"/>
    <n v="5.6046908643717801"/>
    <s v="Pending"/>
    <n v="2.9081221693512598"/>
    <x v="2"/>
    <s v="Route A"/>
    <n v="882.19886354704101"/>
    <n v="7.0144919595098498"/>
    <n v="8518.9380677240097"/>
    <n v="0.99917727762259911"/>
    <n v="5.1020408163265302E-3"/>
  </r>
  <r>
    <x v="0"/>
    <s v="SKU99"/>
    <n v="68.517832699276596"/>
    <n v="17"/>
    <n v="627"/>
    <n v="9185.1858291817007"/>
    <s v="Unknown"/>
    <n v="55"/>
    <n v="8"/>
    <n v="59"/>
    <n v="6"/>
    <s v="Carrier B"/>
    <n v="1.3110237561206199"/>
    <x v="4"/>
    <s v="Chennai"/>
    <n v="29"/>
    <n v="921"/>
    <n v="2"/>
    <n v="38.072898520625998"/>
    <s v="Fail"/>
    <n v="0.34602729070550298"/>
    <x v="2"/>
    <s v="Route B"/>
    <n v="210.743008964246"/>
    <n v="39.383922276746617"/>
    <n v="9145.8019069049533"/>
    <n v="0.99571223456888336"/>
    <n v="5.7471264367816091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220E24-8CC9-4C5D-8ADE-8FE8A78F64BC}"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6:C30" firstHeaderRow="1" firstDataRow="1" firstDataCol="1"/>
  <pivotFields count="28">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4">
    <i>
      <x/>
    </i>
    <i>
      <x v="1"/>
    </i>
    <i>
      <x v="2"/>
    </i>
    <i t="grand">
      <x/>
    </i>
  </rowItems>
  <colItems count="1">
    <i/>
  </colItems>
  <dataFields count="1">
    <dataField name="Sum of Estimated profit" fld="25"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948F6-FB65-4CFE-8E35-381C984A3A54}"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I7" firstHeaderRow="1" firstDataRow="1" firstDataCol="1"/>
  <pivotFields count="28">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Average of Shipping times" fld="10" subtotal="average"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41591-EC6F-4C4E-9517-D9B13FEB6E8F}"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upplier name">
  <location ref="D2:E8" firstHeaderRow="1" firstDataRow="1" firstDataCol="1"/>
  <pivotFields count="28">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dataField="1" showAll="0"/>
    <pivotField showAll="0">
      <items count="5">
        <item x="1"/>
        <item x="2"/>
        <item x="0"/>
        <item x="3"/>
        <item t="default"/>
      </items>
    </pivotField>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Average of Defect rates" fld="20" subtotal="average" baseField="0" baseItem="0"/>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E11BC7-60C2-429D-A3DA-66E01421E09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type">
  <location ref="A3:B7" firstHeaderRow="1" firstDataRow="1" firstDataCol="1"/>
  <pivotFields count="28">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Revenue generated" fld="5"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A2CB4185-47A5-4407-95F2-FFB0390335AD}" sourceName="Transportation modes">
  <pivotTables>
    <pivotTable tabId="5" name="PivotTable5"/>
    <pivotTable tabId="5" name="PivotTable1"/>
    <pivotTable tabId="5" name="PivotTable6"/>
  </pivotTables>
  <data>
    <tabular pivotCacheId="1910964677">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07047110-25BD-4BBE-A1D7-29DC875A4E14}" sourceName="Supplier name">
  <pivotTables>
    <pivotTable tabId="5" name="PivotTable5"/>
    <pivotTable tabId="5" name="PivotTable1"/>
    <pivotTable tabId="5" name="PivotTable6"/>
  </pivotTables>
  <data>
    <tabular pivotCacheId="1910964677">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455BEEDF-2D3B-4B66-A4ED-216705CAB3A6}" sourceName="Product type">
  <pivotTables>
    <pivotTable tabId="5" name="PivotTable5"/>
    <pivotTable tabId="5" name="PivotTable1"/>
    <pivotTable tabId="5" name="PivotTable6"/>
  </pivotTables>
  <data>
    <tabular pivotCacheId="191096467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ation modes" xr10:uid="{D4A5496B-F69D-4B82-A20C-A152750A00D9}" cache="Slicer_Transportation_modes" caption="Transportation modes" rowHeight="234950"/>
  <slicer name="Supplier name" xr10:uid="{0E6BB136-818D-4D21-BD41-3259B80061BB}" cache="Slicer_Supplier_name" caption="Supplier name" rowHeight="234950"/>
  <slicer name="Product type" xr10:uid="{B99B5F57-1322-425B-8A51-7BE737398748}" cache="Slicer_Product_type" caption="Product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2A96BE-8914-4153-A7A9-EFB80AAF5CD8}" name="Table1" displayName="Table1" ref="A1:AB101" totalsRowShown="0">
  <autoFilter ref="A1:AB101" xr:uid="{5E2A96BE-8914-4153-A7A9-EFB80AAF5CD8}"/>
  <tableColumns count="28">
    <tableColumn id="1" xr3:uid="{BA3F8288-54AD-41DE-9C03-E15109FF379B}" name="Product type"/>
    <tableColumn id="2" xr3:uid="{70BDB63E-E106-4488-983A-884EE36F77DD}" name="SKU"/>
    <tableColumn id="3" xr3:uid="{DD5DA755-6DA1-4231-9BA9-ABCD798DCCC5}" name="Price"/>
    <tableColumn id="4" xr3:uid="{BFDCFEF0-94D0-4B02-BDFF-290C1327A657}" name="Availability"/>
    <tableColumn id="5" xr3:uid="{A4D9CF87-58C0-4738-BEF9-6B905704A576}" name="Number of products sold"/>
    <tableColumn id="6" xr3:uid="{C2030245-E27E-4207-9C70-37A2A7F96F83}" name="Revenue generated"/>
    <tableColumn id="7" xr3:uid="{72182941-7D0B-43F1-857A-880C401BEBE9}" name="Customer demographics"/>
    <tableColumn id="8" xr3:uid="{5F8CADB9-F74A-42AE-AC34-6B8A312F59BE}" name="Stock levels"/>
    <tableColumn id="9" xr3:uid="{E43B6C30-CA51-4E8E-B977-5EA57936C4F6}" name="Lead times"/>
    <tableColumn id="10" xr3:uid="{CA1B5B97-E78E-4A8C-B3CF-450F9FEC911F}" name="Order quantities"/>
    <tableColumn id="11" xr3:uid="{0F78E0B2-BEA1-4232-9ACE-9EF6B55204E5}" name="Shipping times"/>
    <tableColumn id="12" xr3:uid="{A8AC414D-3148-4990-8C1C-986CD7340A32}" name="Shipping carriers"/>
    <tableColumn id="13" xr3:uid="{D00331CB-FA2E-488B-A141-DA288690945C}" name="Shipping costs"/>
    <tableColumn id="14" xr3:uid="{18A3AF30-AB13-4A8C-B0AF-23EE4D28B545}" name="Supplier name"/>
    <tableColumn id="15" xr3:uid="{8FDBBB32-8865-4C4C-A61E-67AADD24C8BB}" name="Location"/>
    <tableColumn id="16" xr3:uid="{4A0B5667-2B7E-4D2A-97DF-B5B1174A5457}" name="Lead time"/>
    <tableColumn id="17" xr3:uid="{B31C8757-0689-475A-9392-8D8264EFC293}" name="Production volumes"/>
    <tableColumn id="18" xr3:uid="{06DBC10C-17A1-4024-A8A0-64F5B31FDF6E}" name="Manufacturing lead time"/>
    <tableColumn id="19" xr3:uid="{1EF256B5-00CE-4D6E-B0AC-4F251B30CDDD}" name="Manufacturing costs"/>
    <tableColumn id="20" xr3:uid="{52F4B66F-4D33-40D0-87D6-F951EC3F2A27}" name="Inspection results"/>
    <tableColumn id="21" xr3:uid="{68F7A5FA-9D67-46AD-9F14-9CB82C755A0C}" name="Defect rates"/>
    <tableColumn id="22" xr3:uid="{1A1A81E4-C3E1-400F-B2D0-7E1C7C1656A5}" name="Transportation modes"/>
    <tableColumn id="23" xr3:uid="{D5A48D3C-2642-4C28-9966-0071AC7AC028}" name="Routes"/>
    <tableColumn id="24" xr3:uid="{2EC9DB88-86B4-4EF7-B9AC-A231664ED93C}" name="Costs"/>
    <tableColumn id="25" xr3:uid="{4FD85FD4-FF96-4E86-AE27-D4F4034A960D}" name="Total cost" dataDxfId="3">
      <calculatedColumnFormula>SUM(Table1[[#This Row],[Manufacturing costs]],Table1[[#This Row],[Shipping costs]])</calculatedColumnFormula>
    </tableColumn>
    <tableColumn id="26" xr3:uid="{32571247-1447-4311-A73F-D7F653ED79DE}" name="Estimated profit" dataDxfId="2">
      <calculatedColumnFormula>Table1[[#This Row],[Revenue generated]]-Table1[[#This Row],[Total cost]]</calculatedColumnFormula>
    </tableColumn>
    <tableColumn id="27" xr3:uid="{6397B48E-06EC-41F4-A9AE-1DD45047A7D5}" name="profit margin" dataDxfId="1">
      <calculatedColumnFormula>Table1[[#This Row],[Estimated profit]]/Table1[[#This Row],[Revenue generated]]</calculatedColumnFormula>
    </tableColumn>
    <tableColumn id="28" xr3:uid="{B8D78CE7-CF87-4C45-8E18-FBE150988381}" name="Delivery Efficiency" dataDxfId="0">
      <calculatedColumnFormula>1/Table1[[#This Row],[Shipping times]]/Table1[[#This Row],[Lead 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1B93-1ACA-48AC-A9E0-7C6F0F541096}">
  <dimension ref="A1:X101"/>
  <sheetViews>
    <sheetView workbookViewId="0">
      <selection activeCell="K20" sqref="K20"/>
    </sheetView>
  </sheetViews>
  <sheetFormatPr defaultRowHeight="14.4" x14ac:dyDescent="0.3"/>
  <cols>
    <col min="1" max="1" width="17.5546875" customWidth="1"/>
    <col min="2" max="2" width="11.109375" customWidth="1"/>
    <col min="3" max="3" width="12.44140625" customWidth="1"/>
    <col min="4" max="4" width="11.88671875" customWidth="1"/>
    <col min="5" max="5" width="21.21875" customWidth="1"/>
    <col min="6" max="6" width="20.77734375" customWidth="1"/>
    <col min="7" max="7" width="20.33203125" customWidth="1"/>
    <col min="8" max="8" width="10.6640625" customWidth="1"/>
    <col min="9" max="9" width="9.5546875" customWidth="1"/>
    <col min="10" max="10" width="13.6640625" customWidth="1"/>
    <col min="11" max="11" width="12.21875" customWidth="1"/>
    <col min="12" max="12" width="14.109375" customWidth="1"/>
    <col min="13" max="13" width="13.1093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AAB73-0999-4B8C-8A7E-8B78F3D8573B}">
  <dimension ref="A1:AB101"/>
  <sheetViews>
    <sheetView topLeftCell="P1" zoomScale="97" workbookViewId="0">
      <selection activeCell="F2" sqref="F2"/>
    </sheetView>
  </sheetViews>
  <sheetFormatPr defaultRowHeight="14.4" x14ac:dyDescent="0.3"/>
  <cols>
    <col min="1" max="1" width="17.5546875" customWidth="1"/>
    <col min="2" max="2" width="11.109375" customWidth="1"/>
    <col min="3" max="3" width="12.44140625" customWidth="1"/>
    <col min="4" max="4" width="12.109375" customWidth="1"/>
    <col min="5" max="5" width="23.77734375" customWidth="1"/>
    <col min="6" max="6" width="20.77734375" customWidth="1"/>
    <col min="7" max="7" width="23.33203125" customWidth="1"/>
    <col min="8" max="8" width="12.6640625" customWidth="1"/>
    <col min="9" max="9" width="11.88671875" customWidth="1"/>
    <col min="10" max="10" width="16.44140625" customWidth="1"/>
    <col min="11" max="11" width="17.6640625" customWidth="1"/>
    <col min="12" max="12" width="16.77734375" customWidth="1"/>
    <col min="13" max="13" width="14.88671875" customWidth="1"/>
    <col min="14" max="14" width="15" customWidth="1"/>
    <col min="15" max="15" width="10.109375" customWidth="1"/>
    <col min="16" max="16" width="11.109375" customWidth="1"/>
    <col min="17" max="17" width="19.77734375" customWidth="1"/>
    <col min="18" max="18" width="23.6640625" customWidth="1"/>
    <col min="19" max="19" width="20.109375" customWidth="1"/>
    <col min="20" max="20" width="17.5546875" customWidth="1"/>
    <col min="21" max="21" width="12.88671875" customWidth="1"/>
    <col min="22" max="22" width="21.44140625" customWidth="1"/>
    <col min="25" max="25" width="15.33203125" customWidth="1"/>
    <col min="26" max="26" width="19.5546875" customWidth="1"/>
    <col min="27" max="27" width="14.109375" customWidth="1"/>
    <col min="28" max="28" width="20.8867187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154</v>
      </c>
      <c r="Z1" t="s">
        <v>155</v>
      </c>
      <c r="AA1" t="s">
        <v>156</v>
      </c>
      <c r="AB1" t="s">
        <v>157</v>
      </c>
    </row>
    <row r="2" spans="1:28"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f>SUM(Table1[[#This Row],[Manufacturing costs]],Table1[[#This Row],[Shipping costs]])</f>
        <v>49.236451379939098</v>
      </c>
      <c r="Z2">
        <f>Table1[[#This Row],[Revenue generated]]-Table1[[#This Row],[Total cost]]</f>
        <v>8612.7603410124411</v>
      </c>
      <c r="AA2">
        <f>Table1[[#This Row],[Estimated profit]]/Table1[[#This Row],[Revenue generated]]</f>
        <v>0.9943158081721778</v>
      </c>
      <c r="AB2" s="1">
        <f>1/Table1[[#This Row],[Shipping times]]/Table1[[#This Row],[Lead time]]</f>
        <v>8.6206896551724137E-3</v>
      </c>
    </row>
    <row r="3" spans="1:28"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f>SUM(Table1[[#This Row],[Manufacturing costs]],Table1[[#This Row],[Shipping costs]])</f>
        <v>43.333343725161313</v>
      </c>
      <c r="Z3">
        <f>Table1[[#This Row],[Revenue generated]]-Table1[[#This Row],[Total cost]]</f>
        <v>7417.5667217206783</v>
      </c>
      <c r="AA3">
        <f>Table1[[#This Row],[Estimated profit]]/Table1[[#This Row],[Revenue generated]]</f>
        <v>0.99419194154256885</v>
      </c>
      <c r="AB3" s="1">
        <f>1/Table1[[#This Row],[Shipping times]]/Table1[[#This Row],[Lead time]]</f>
        <v>2.1739130434782608E-2</v>
      </c>
    </row>
    <row r="4" spans="1:28"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f>SUM(Table1[[#This Row],[Manufacturing costs]],Table1[[#This Row],[Shipping costs]])</f>
        <v>38.742498610016348</v>
      </c>
      <c r="Z4">
        <f>Table1[[#This Row],[Revenue generated]]-Table1[[#This Row],[Total cost]]</f>
        <v>9539.0071272587138</v>
      </c>
      <c r="AA4">
        <f>Table1[[#This Row],[Estimated profit]]/Table1[[#This Row],[Revenue generated]]</f>
        <v>0.99595494765227777</v>
      </c>
      <c r="AB4" s="1">
        <f>1/Table1[[#This Row],[Shipping times]]/Table1[[#This Row],[Lead time]]</f>
        <v>4.1666666666666664E-2</v>
      </c>
    </row>
    <row r="5" spans="1:28"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f>SUM(Table1[[#This Row],[Manufacturing costs]],Table1[[#This Row],[Shipping costs]])</f>
        <v>37.354309960668417</v>
      </c>
      <c r="Z5">
        <f>Table1[[#This Row],[Revenue generated]]-Table1[[#This Row],[Total cost]]</f>
        <v>7729.4821157245615</v>
      </c>
      <c r="AA5">
        <f>Table1[[#This Row],[Estimated profit]]/Table1[[#This Row],[Revenue generated]]</f>
        <v>0.99519053731617979</v>
      </c>
      <c r="AB5" s="1">
        <f>1/Table1[[#This Row],[Shipping times]]/Table1[[#This Row],[Lead time]]</f>
        <v>6.9444444444444441E-3</v>
      </c>
    </row>
    <row r="6" spans="1:28"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f>SUM(Table1[[#This Row],[Manufacturing costs]],Table1[[#This Row],[Shipping costs]])</f>
        <v>95.955708514583463</v>
      </c>
      <c r="Z6">
        <f>Table1[[#This Row],[Revenue generated]]-Table1[[#This Row],[Total cost]]</f>
        <v>2590.5494430528565</v>
      </c>
      <c r="AA6">
        <f>Table1[[#This Row],[Estimated profit]]/Table1[[#This Row],[Revenue generated]]</f>
        <v>0.96428232848963713</v>
      </c>
      <c r="AB6" s="1">
        <f>1/Table1[[#This Row],[Shipping times]]/Table1[[#This Row],[Lead time]]</f>
        <v>2.5000000000000001E-2</v>
      </c>
    </row>
    <row r="7" spans="1:28"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f>SUM(Table1[[#This Row],[Manufacturing costs]],Table1[[#This Row],[Shipping costs]])</f>
        <v>61.210574421814087</v>
      </c>
      <c r="Z7">
        <f>Table1[[#This Row],[Revenue generated]]-Table1[[#This Row],[Total cost]]</f>
        <v>2767.1381715539355</v>
      </c>
      <c r="AA7">
        <f>Table1[[#This Row],[Estimated profit]]/Table1[[#This Row],[Revenue generated]]</f>
        <v>0.97835819415519165</v>
      </c>
      <c r="AB7" s="1">
        <f>1/Table1[[#This Row],[Shipping times]]/Table1[[#This Row],[Lead time]]</f>
        <v>3.3333333333333333E-2</v>
      </c>
    </row>
    <row r="8" spans="1:28"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f>SUM(Table1[[#This Row],[Manufacturing costs]],Table1[[#This Row],[Shipping costs]])</f>
        <v>4.9658318725390602</v>
      </c>
      <c r="Z8">
        <f>Table1[[#This Row],[Revenue generated]]-Table1[[#This Row],[Total cost]]</f>
        <v>7818.5107276591916</v>
      </c>
      <c r="AA8">
        <f>Table1[[#This Row],[Estimated profit]]/Table1[[#This Row],[Revenue generated]]</f>
        <v>0.99936526532229608</v>
      </c>
      <c r="AB8" s="1">
        <f>1/Table1[[#This Row],[Shipping times]]/Table1[[#This Row],[Lead time]]</f>
        <v>8.9285714285714281E-3</v>
      </c>
    </row>
    <row r="9" spans="1:28"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f>SUM(Table1[[#This Row],[Manufacturing costs]],Table1[[#This Row],[Shipping costs]])</f>
        <v>101.81444738801687</v>
      </c>
      <c r="Z9">
        <f>Table1[[#This Row],[Revenue generated]]-Table1[[#This Row],[Total cost]]</f>
        <v>8394.2893657018139</v>
      </c>
      <c r="AA9">
        <f>Table1[[#This Row],[Estimated profit]]/Table1[[#This Row],[Revenue generated]]</f>
        <v>0.98801633670822708</v>
      </c>
      <c r="AB9" s="1">
        <f>1/Table1[[#This Row],[Shipping times]]/Table1[[#This Row],[Lead time]]</f>
        <v>4.5454545454545456E-2</v>
      </c>
    </row>
    <row r="10" spans="1:28"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f>SUM(Table1[[#This Row],[Manufacturing costs]],Table1[[#This Row],[Shipping costs]])</f>
        <v>14.827760996648619</v>
      </c>
      <c r="Z10">
        <f>Table1[[#This Row],[Revenue generated]]-Table1[[#This Row],[Total cost]]</f>
        <v>7502.5354496344708</v>
      </c>
      <c r="AA10">
        <f>Table1[[#This Row],[Estimated profit]]/Table1[[#This Row],[Revenue generated]]</f>
        <v>0.99802753165156644</v>
      </c>
      <c r="AB10" s="1">
        <f>1/Table1[[#This Row],[Shipping times]]/Table1[[#This Row],[Lead time]]</f>
        <v>1.0989010989010988E-2</v>
      </c>
    </row>
    <row r="11" spans="1:28"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f>SUM(Table1[[#This Row],[Manufacturing costs]],Table1[[#This Row],[Shipping costs]])</f>
        <v>55.124246925999714</v>
      </c>
      <c r="Z11">
        <f>Table1[[#This Row],[Revenue generated]]-Table1[[#This Row],[Total cost]]</f>
        <v>4916.0217406595502</v>
      </c>
      <c r="AA11">
        <f>Table1[[#This Row],[Estimated profit]]/Table1[[#This Row],[Revenue generated]]</f>
        <v>0.98891115910422633</v>
      </c>
      <c r="AB11" s="1">
        <f>1/Table1[[#This Row],[Shipping times]]/Table1[[#This Row],[Lead time]]</f>
        <v>3.4482758620689655E-2</v>
      </c>
    </row>
    <row r="12" spans="1:28"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f>SUM(Table1[[#This Row],[Manufacturing costs]],Table1[[#This Row],[Shipping costs]])</f>
        <v>105.20056399658951</v>
      </c>
      <c r="Z12">
        <f>Table1[[#This Row],[Revenue generated]]-Table1[[#This Row],[Total cost]]</f>
        <v>2225.7652380953505</v>
      </c>
      <c r="AA12">
        <f>Table1[[#This Row],[Estimated profit]]/Table1[[#This Row],[Revenue generated]]</f>
        <v>0.95486825079021898</v>
      </c>
      <c r="AB12" s="1">
        <f>1/Table1[[#This Row],[Shipping times]]/Table1[[#This Row],[Lead time]]</f>
        <v>2.7777777777777776E-2</v>
      </c>
    </row>
    <row r="13" spans="1:28"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f>SUM(Table1[[#This Row],[Manufacturing costs]],Table1[[#This Row],[Shipping costs]])</f>
        <v>32.116306210980262</v>
      </c>
      <c r="Z13">
        <f>Table1[[#This Row],[Revenue generated]]-Table1[[#This Row],[Total cost]]</f>
        <v>6067.8278093704703</v>
      </c>
      <c r="AA13">
        <f>Table1[[#This Row],[Estimated profit]]/Table1[[#This Row],[Revenue generated]]</f>
        <v>0.99473498353387479</v>
      </c>
      <c r="AB13" s="1">
        <f>1/Table1[[#This Row],[Shipping times]]/Table1[[#This Row],[Lead time]]</f>
        <v>3.5714285714285712E-2</v>
      </c>
    </row>
    <row r="14" spans="1:28"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f>SUM(Table1[[#This Row],[Manufacturing costs]],Table1[[#This Row],[Shipping costs]])</f>
        <v>33.646560223608525</v>
      </c>
      <c r="Z14">
        <f>Table1[[#This Row],[Revenue generated]]-Table1[[#This Row],[Total cost]]</f>
        <v>2840.0948857978315</v>
      </c>
      <c r="AA14">
        <f>Table1[[#This Row],[Estimated profit]]/Table1[[#This Row],[Revenue generated]]</f>
        <v>0.98829172322715719</v>
      </c>
      <c r="AB14" s="1">
        <f>1/Table1[[#This Row],[Shipping times]]/Table1[[#This Row],[Lead time]]</f>
        <v>8.3333333333333329E-2</v>
      </c>
    </row>
    <row r="15" spans="1:28"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f>SUM(Table1[[#This Row],[Manufacturing costs]],Table1[[#This Row],[Shipping costs]])</f>
        <v>107.36633317128152</v>
      </c>
      <c r="Z15">
        <f>Table1[[#This Row],[Revenue generated]]-Table1[[#This Row],[Total cost]]</f>
        <v>3945.3720830665784</v>
      </c>
      <c r="AA15">
        <f>Table1[[#This Row],[Estimated profit]]/Table1[[#This Row],[Revenue generated]]</f>
        <v>0.97350770709969747</v>
      </c>
      <c r="AB15" s="1">
        <f>1/Table1[[#This Row],[Shipping times]]/Table1[[#This Row],[Lead time]]</f>
        <v>4.830917874396135E-3</v>
      </c>
    </row>
    <row r="16" spans="1:28"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f>SUM(Table1[[#This Row],[Manufacturing costs]],Table1[[#This Row],[Shipping costs]])</f>
        <v>7.8312068193123094</v>
      </c>
      <c r="Z16">
        <f>Table1[[#This Row],[Revenue generated]]-Table1[[#This Row],[Total cost]]</f>
        <v>8645.739719650488</v>
      </c>
      <c r="AA16">
        <f>Table1[[#This Row],[Estimated profit]]/Table1[[#This Row],[Revenue generated]]</f>
        <v>0.99909503176366676</v>
      </c>
      <c r="AB16" s="1">
        <f>1/Table1[[#This Row],[Shipping times]]/Table1[[#This Row],[Lead time]]</f>
        <v>8.0000000000000002E-3</v>
      </c>
    </row>
    <row r="17" spans="1:28"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f>SUM(Table1[[#This Row],[Manufacturing costs]],Table1[[#This Row],[Shipping costs]])</f>
        <v>99.543321474749504</v>
      </c>
      <c r="Z17">
        <f>Table1[[#This Row],[Revenue generated]]-Table1[[#This Row],[Total cost]]</f>
        <v>5342.5434639229206</v>
      </c>
      <c r="AA17">
        <f>Table1[[#This Row],[Estimated profit]]/Table1[[#This Row],[Revenue generated]]</f>
        <v>0.98170861189831704</v>
      </c>
      <c r="AB17" s="1">
        <f>1/Table1[[#This Row],[Shipping times]]/Table1[[#This Row],[Lead time]]</f>
        <v>1.020408163265306E-2</v>
      </c>
    </row>
    <row r="18" spans="1:28"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f>SUM(Table1[[#This Row],[Manufacturing costs]],Table1[[#This Row],[Shipping costs]])</f>
        <v>81.297667083555496</v>
      </c>
      <c r="Z18">
        <f>Table1[[#This Row],[Revenue generated]]-Table1[[#This Row],[Total cost]]</f>
        <v>6372.5003010927248</v>
      </c>
      <c r="AA18">
        <f>Table1[[#This Row],[Estimated profit]]/Table1[[#This Row],[Revenue generated]]</f>
        <v>0.98740312797449903</v>
      </c>
      <c r="AB18" s="1">
        <f>1/Table1[[#This Row],[Shipping times]]/Table1[[#This Row],[Lead time]]</f>
        <v>0.33333333333333331</v>
      </c>
    </row>
    <row r="19" spans="1:28"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f>SUM(Table1[[#This Row],[Manufacturing costs]],Table1[[#This Row],[Shipping costs]])</f>
        <v>51.265099326587638</v>
      </c>
      <c r="Z19">
        <f>Table1[[#This Row],[Revenue generated]]-Table1[[#This Row],[Total cost]]</f>
        <v>2578.1313355186726</v>
      </c>
      <c r="AA19">
        <f>Table1[[#This Row],[Estimated profit]]/Table1[[#This Row],[Revenue generated]]</f>
        <v>0.98050309240279909</v>
      </c>
      <c r="AB19" s="1">
        <f>1/Table1[[#This Row],[Shipping times]]/Table1[[#This Row],[Lead time]]</f>
        <v>1.5873015873015872E-2</v>
      </c>
    </row>
    <row r="20" spans="1:28"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f>SUM(Table1[[#This Row],[Manufacturing costs]],Table1[[#This Row],[Shipping costs]])</f>
        <v>31.447205568954598</v>
      </c>
      <c r="Z20">
        <f>Table1[[#This Row],[Revenue generated]]-Table1[[#This Row],[Total cost]]</f>
        <v>9333.226299507216</v>
      </c>
      <c r="AA20">
        <f>Table1[[#This Row],[Estimated profit]]/Table1[[#This Row],[Revenue generated]]</f>
        <v>0.99664193251885302</v>
      </c>
      <c r="AB20" s="1">
        <f>1/Table1[[#This Row],[Shipping times]]/Table1[[#This Row],[Lead time]]</f>
        <v>6.9444444444444441E-3</v>
      </c>
    </row>
    <row r="21" spans="1:28"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f>SUM(Table1[[#This Row],[Manufacturing costs]],Table1[[#This Row],[Shipping costs]])</f>
        <v>87.11595647083206</v>
      </c>
      <c r="Z21">
        <f>Table1[[#This Row],[Revenue generated]]-Table1[[#This Row],[Total cost]]</f>
        <v>2466.379628520378</v>
      </c>
      <c r="AA21">
        <f>Table1[[#This Row],[Estimated profit]]/Table1[[#This Row],[Revenue generated]]</f>
        <v>0.96588364711383212</v>
      </c>
      <c r="AB21" s="1">
        <f>1/Table1[[#This Row],[Shipping times]]/Table1[[#This Row],[Lead time]]</f>
        <v>1.6666666666666666E-2</v>
      </c>
    </row>
    <row r="22" spans="1:28"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f>SUM(Table1[[#This Row],[Manufacturing costs]],Table1[[#This Row],[Shipping costs]])</f>
        <v>74.564594259415443</v>
      </c>
      <c r="Z22">
        <f>Table1[[#This Row],[Revenue generated]]-Table1[[#This Row],[Total cost]]</f>
        <v>8053.4631025917743</v>
      </c>
      <c r="AA22">
        <f>Table1[[#This Row],[Estimated profit]]/Table1[[#This Row],[Revenue generated]]</f>
        <v>0.99082623767530931</v>
      </c>
      <c r="AB22" s="1">
        <f>1/Table1[[#This Row],[Shipping times]]/Table1[[#This Row],[Lead time]]</f>
        <v>5.7471264367816091E-3</v>
      </c>
    </row>
    <row r="23" spans="1:28"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f>SUM(Table1[[#This Row],[Manufacturing costs]],Table1[[#This Row],[Shipping costs]])</f>
        <v>67.773612723379188</v>
      </c>
      <c r="Z23">
        <f>Table1[[#This Row],[Revenue generated]]-Table1[[#This Row],[Total cost]]</f>
        <v>7019.2790836340509</v>
      </c>
      <c r="AA23">
        <f>Table1[[#This Row],[Estimated profit]]/Table1[[#This Row],[Revenue generated]]</f>
        <v>0.99043698196879315</v>
      </c>
      <c r="AB23" s="1">
        <f>1/Table1[[#This Row],[Shipping times]]/Table1[[#This Row],[Lead time]]</f>
        <v>8.771929824561403E-3</v>
      </c>
    </row>
    <row r="24" spans="1:28"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f>SUM(Table1[[#This Row],[Manufacturing costs]],Table1[[#This Row],[Shipping costs]])</f>
        <v>59.68848853390034</v>
      </c>
      <c r="Z24">
        <f>Table1[[#This Row],[Revenue generated]]-Table1[[#This Row],[Total cost]]</f>
        <v>2331.1193780222698</v>
      </c>
      <c r="AA24">
        <f>Table1[[#This Row],[Estimated profit]]/Table1[[#This Row],[Revenue generated]]</f>
        <v>0.97503417594995678</v>
      </c>
      <c r="AB24" s="1">
        <f>1/Table1[[#This Row],[Shipping times]]/Table1[[#This Row],[Lead time]]</f>
        <v>4.5454545454545461E-3</v>
      </c>
    </row>
    <row r="25" spans="1:28"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f>SUM(Table1[[#This Row],[Manufacturing costs]],Table1[[#This Row],[Shipping costs]])</f>
        <v>101.53481484384935</v>
      </c>
      <c r="Z25">
        <f>Table1[[#This Row],[Revenue generated]]-Table1[[#This Row],[Total cost]]</f>
        <v>8756.8327561676306</v>
      </c>
      <c r="AA25">
        <f>Table1[[#This Row],[Estimated profit]]/Table1[[#This Row],[Revenue generated]]</f>
        <v>0.98853797677394684</v>
      </c>
      <c r="AB25" s="1">
        <f>1/Table1[[#This Row],[Shipping times]]/Table1[[#This Row],[Lead time]]</f>
        <v>1.2987012987012986E-2</v>
      </c>
    </row>
    <row r="26" spans="1:28"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f>SUM(Table1[[#This Row],[Manufacturing costs]],Table1[[#This Row],[Shipping costs]])</f>
        <v>50.123651392209162</v>
      </c>
      <c r="Z26">
        <f>Table1[[#This Row],[Revenue generated]]-Table1[[#This Row],[Total cost]]</f>
        <v>8998.9542095476809</v>
      </c>
      <c r="AA26">
        <f>Table1[[#This Row],[Estimated profit]]/Table1[[#This Row],[Revenue generated]]</f>
        <v>0.99446091058531327</v>
      </c>
      <c r="AB26" s="1">
        <f>1/Table1[[#This Row],[Shipping times]]/Table1[[#This Row],[Lead time]]</f>
        <v>4.464285714285714E-3</v>
      </c>
    </row>
    <row r="27" spans="1:28"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f>SUM(Table1[[#This Row],[Manufacturing costs]],Table1[[#This Row],[Shipping costs]])</f>
        <v>80.511456799697015</v>
      </c>
      <c r="Z27">
        <f>Table1[[#This Row],[Revenue generated]]-Table1[[#This Row],[Total cost]]</f>
        <v>2094.2655975509529</v>
      </c>
      <c r="AA27">
        <f>Table1[[#This Row],[Estimated profit]]/Table1[[#This Row],[Revenue generated]]</f>
        <v>0.96297944350726272</v>
      </c>
      <c r="AB27" s="1">
        <f>1/Table1[[#This Row],[Shipping times]]/Table1[[#This Row],[Lead time]]</f>
        <v>1.7543859649122806E-2</v>
      </c>
    </row>
    <row r="28" spans="1:28"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f>SUM(Table1[[#This Row],[Manufacturing costs]],Table1[[#This Row],[Shipping costs]])</f>
        <v>22.479778378260249</v>
      </c>
      <c r="Z28">
        <f>Table1[[#This Row],[Revenue generated]]-Table1[[#This Row],[Total cost]]</f>
        <v>3694.0135475157699</v>
      </c>
      <c r="AA28">
        <f>Table1[[#This Row],[Estimated profit]]/Table1[[#This Row],[Revenue generated]]</f>
        <v>0.99395134703414212</v>
      </c>
      <c r="AB28" s="1">
        <f>1/Table1[[#This Row],[Shipping times]]/Table1[[#This Row],[Lead time]]</f>
        <v>9.6153846153846159E-3</v>
      </c>
    </row>
    <row r="29" spans="1:28"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f>SUM(Table1[[#This Row],[Manufacturing costs]],Table1[[#This Row],[Shipping costs]])</f>
        <v>17.934996023040171</v>
      </c>
      <c r="Z29">
        <f>Table1[[#This Row],[Revenue generated]]-Table1[[#This Row],[Total cost]]</f>
        <v>2668.52222755294</v>
      </c>
      <c r="AA29">
        <f>Table1[[#This Row],[Estimated profit]]/Table1[[#This Row],[Revenue generated]]</f>
        <v>0.99332392272408243</v>
      </c>
      <c r="AB29" s="1">
        <f>1/Table1[[#This Row],[Shipping times]]/Table1[[#This Row],[Lead time]]</f>
        <v>5.0000000000000001E-3</v>
      </c>
    </row>
    <row r="30" spans="1:28"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f>SUM(Table1[[#This Row],[Manufacturing costs]],Table1[[#This Row],[Shipping costs]])</f>
        <v>69.327522318760728</v>
      </c>
      <c r="Z30">
        <f>Table1[[#This Row],[Revenue generated]]-Table1[[#This Row],[Total cost]]</f>
        <v>6047.9970927652284</v>
      </c>
      <c r="AA30">
        <f>Table1[[#This Row],[Estimated profit]]/Table1[[#This Row],[Revenue generated]]</f>
        <v>0.9886670192149335</v>
      </c>
      <c r="AB30" s="1">
        <f>1/Table1[[#This Row],[Shipping times]]/Table1[[#This Row],[Lead time]]</f>
        <v>1.9230769230769232E-2</v>
      </c>
    </row>
    <row r="31" spans="1:28"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f>SUM(Table1[[#This Row],[Manufacturing costs]],Table1[[#This Row],[Shipping costs]])</f>
        <v>47.393848731462725</v>
      </c>
      <c r="Z31">
        <f>Table1[[#This Row],[Revenue generated]]-Table1[[#This Row],[Total cost]]</f>
        <v>8271.5093458857082</v>
      </c>
      <c r="AA31">
        <f>Table1[[#This Row],[Estimated profit]]/Table1[[#This Row],[Revenue generated]]</f>
        <v>0.99430287291212505</v>
      </c>
      <c r="AB31" s="1">
        <f>1/Table1[[#This Row],[Shipping times]]/Table1[[#This Row],[Lead time]]</f>
        <v>8.9285714285714281E-3</v>
      </c>
    </row>
    <row r="32" spans="1:28"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f>SUM(Table1[[#This Row],[Manufacturing costs]],Table1[[#This Row],[Shipping costs]])</f>
        <v>60.589421715427306</v>
      </c>
      <c r="Z32">
        <f>Table1[[#This Row],[Revenue generated]]-Table1[[#This Row],[Total cost]]</f>
        <v>2705.7529451506525</v>
      </c>
      <c r="AA32">
        <f>Table1[[#This Row],[Estimated profit]]/Table1[[#This Row],[Revenue generated]]</f>
        <v>0.97809764169426816</v>
      </c>
      <c r="AB32" s="1">
        <f>1/Table1[[#This Row],[Shipping times]]/Table1[[#This Row],[Lead time]]</f>
        <v>5.2910052910052907E-3</v>
      </c>
    </row>
    <row r="33" spans="1:28"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f>SUM(Table1[[#This Row],[Manufacturing costs]],Table1[[#This Row],[Shipping costs]])</f>
        <v>62.930806626579404</v>
      </c>
      <c r="Z33">
        <f>Table1[[#This Row],[Revenue generated]]-Table1[[#This Row],[Total cost]]</f>
        <v>9592.2042960928102</v>
      </c>
      <c r="AA33">
        <f>Table1[[#This Row],[Estimated profit]]/Table1[[#This Row],[Revenue generated]]</f>
        <v>0.99348214126917234</v>
      </c>
      <c r="AB33" s="1">
        <f>1/Table1[[#This Row],[Shipping times]]/Table1[[#This Row],[Lead time]]</f>
        <v>1.0416666666666666E-2</v>
      </c>
    </row>
    <row r="34" spans="1:28"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f>SUM(Table1[[#This Row],[Manufacturing costs]],Table1[[#This Row],[Shipping costs]])</f>
        <v>36.291572054988279</v>
      </c>
      <c r="Z34">
        <f>Table1[[#This Row],[Revenue generated]]-Table1[[#This Row],[Total cost]]</f>
        <v>9535.2589152728215</v>
      </c>
      <c r="AA34">
        <f>Table1[[#This Row],[Estimated profit]]/Table1[[#This Row],[Revenue generated]]</f>
        <v>0.99620839151368046</v>
      </c>
      <c r="AB34" s="1">
        <f>1/Table1[[#This Row],[Shipping times]]/Table1[[#This Row],[Lead time]]</f>
        <v>8.3333333333333332E-3</v>
      </c>
    </row>
    <row r="35" spans="1:28"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f>SUM(Table1[[#This Row],[Manufacturing costs]],Table1[[#This Row],[Shipping costs]])</f>
        <v>28.71169801633274</v>
      </c>
      <c r="Z35">
        <f>Table1[[#This Row],[Revenue generated]]-Table1[[#This Row],[Total cost]]</f>
        <v>5121.2866523916973</v>
      </c>
      <c r="AA35">
        <f>Table1[[#This Row],[Estimated profit]]/Table1[[#This Row],[Revenue generated]]</f>
        <v>0.99442491122078558</v>
      </c>
      <c r="AB35" s="1">
        <f>1/Table1[[#This Row],[Shipping times]]/Table1[[#This Row],[Lead time]]</f>
        <v>0.1111111111111111</v>
      </c>
    </row>
    <row r="36" spans="1:28"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f>SUM(Table1[[#This Row],[Manufacturing costs]],Table1[[#This Row],[Shipping costs]])</f>
        <v>11.773760385851409</v>
      </c>
      <c r="Z36">
        <f>Table1[[#This Row],[Revenue generated]]-Table1[[#This Row],[Total cost]]</f>
        <v>9049.9371351218688</v>
      </c>
      <c r="AA36">
        <f>Table1[[#This Row],[Estimated profit]]/Table1[[#This Row],[Revenue generated]]</f>
        <v>0.99870071330661325</v>
      </c>
      <c r="AB36" s="1">
        <f>1/Table1[[#This Row],[Shipping times]]/Table1[[#This Row],[Lead time]]</f>
        <v>3.5714285714285712E-2</v>
      </c>
    </row>
    <row r="37" spans="1:28"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f>SUM(Table1[[#This Row],[Manufacturing costs]],Table1[[#This Row],[Shipping costs]])</f>
        <v>63.292977035071104</v>
      </c>
      <c r="Z37">
        <f>Table1[[#This Row],[Revenue generated]]-Table1[[#This Row],[Total cost]]</f>
        <v>6478.0363677673886</v>
      </c>
      <c r="AA37">
        <f>Table1[[#This Row],[Estimated profit]]/Table1[[#This Row],[Revenue generated]]</f>
        <v>0.99032414151637815</v>
      </c>
      <c r="AB37" s="1">
        <f>1/Table1[[#This Row],[Shipping times]]/Table1[[#This Row],[Lead time]]</f>
        <v>4.1666666666666664E-2</v>
      </c>
    </row>
    <row r="38" spans="1:28"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f>SUM(Table1[[#This Row],[Manufacturing costs]],Table1[[#This Row],[Shipping costs]])</f>
        <v>47.639315504321182</v>
      </c>
      <c r="Z38">
        <f>Table1[[#This Row],[Revenue generated]]-Table1[[#This Row],[Total cost]]</f>
        <v>7525.7631423444082</v>
      </c>
      <c r="AA38">
        <f>Table1[[#This Row],[Estimated profit]]/Table1[[#This Row],[Revenue generated]]</f>
        <v>0.99370965483883</v>
      </c>
      <c r="AB38" s="1">
        <f>1/Table1[[#This Row],[Shipping times]]/Table1[[#This Row],[Lead time]]</f>
        <v>1.282051282051282E-2</v>
      </c>
    </row>
    <row r="39" spans="1:28"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f>SUM(Table1[[#This Row],[Manufacturing costs]],Table1[[#This Row],[Shipping costs]])</f>
        <v>35.875932738665732</v>
      </c>
      <c r="Z39">
        <f>Table1[[#This Row],[Revenue generated]]-Table1[[#This Row],[Total cost]]</f>
        <v>2402.4639977313545</v>
      </c>
      <c r="AA39">
        <f>Table1[[#This Row],[Estimated profit]]/Table1[[#This Row],[Revenue generated]]</f>
        <v>0.98528673861656768</v>
      </c>
      <c r="AB39" s="1">
        <f>1/Table1[[#This Row],[Shipping times]]/Table1[[#This Row],[Lead time]]</f>
        <v>4.6296296296296294E-3</v>
      </c>
    </row>
    <row r="40" spans="1:28"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f>SUM(Table1[[#This Row],[Manufacturing costs]],Table1[[#This Row],[Shipping costs]])</f>
        <v>15.16662508277753</v>
      </c>
      <c r="Z40">
        <f>Table1[[#This Row],[Revenue generated]]-Table1[[#This Row],[Total cost]]</f>
        <v>9677.1514151356514</v>
      </c>
      <c r="AA40">
        <f>Table1[[#This Row],[Estimated profit]]/Table1[[#This Row],[Revenue generated]]</f>
        <v>0.99843519114624135</v>
      </c>
      <c r="AB40" s="1">
        <f>1/Table1[[#This Row],[Shipping times]]/Table1[[#This Row],[Lead time]]</f>
        <v>0.02</v>
      </c>
    </row>
    <row r="41" spans="1:28"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f>SUM(Table1[[#This Row],[Manufacturing costs]],Table1[[#This Row],[Shipping costs]])</f>
        <v>14.56831120761202</v>
      </c>
      <c r="Z41">
        <f>Table1[[#This Row],[Revenue generated]]-Table1[[#This Row],[Total cost]]</f>
        <v>1897.897351893148</v>
      </c>
      <c r="AA41">
        <f>Table1[[#This Row],[Estimated profit]]/Table1[[#This Row],[Revenue generated]]</f>
        <v>0.9923824456100343</v>
      </c>
      <c r="AB41" s="1">
        <f>1/Table1[[#This Row],[Shipping times]]/Table1[[#This Row],[Lead time]]</f>
        <v>1.111111111111111E-2</v>
      </c>
    </row>
    <row r="42" spans="1:28"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f>SUM(Table1[[#This Row],[Manufacturing costs]],Table1[[#This Row],[Shipping costs]])</f>
        <v>95.409002243953879</v>
      </c>
      <c r="Z42">
        <f>Table1[[#This Row],[Revenue generated]]-Table1[[#This Row],[Total cost]]</f>
        <v>5629.5503482123058</v>
      </c>
      <c r="AA42">
        <f>Table1[[#This Row],[Estimated profit]]/Table1[[#This Row],[Revenue generated]]</f>
        <v>0.98333455376650836</v>
      </c>
      <c r="AB42" s="1">
        <f>1/Table1[[#This Row],[Shipping times]]/Table1[[#This Row],[Lead time]]</f>
        <v>6.9444444444444441E-3</v>
      </c>
    </row>
    <row r="43" spans="1:28"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f>SUM(Table1[[#This Row],[Manufacturing costs]],Table1[[#This Row],[Shipping costs]])</f>
        <v>101.10532829253914</v>
      </c>
      <c r="Z43">
        <f>Table1[[#This Row],[Revenue generated]]-Table1[[#This Row],[Total cost]]</f>
        <v>5420.0999307184302</v>
      </c>
      <c r="AA43">
        <f>Table1[[#This Row],[Estimated profit]]/Table1[[#This Row],[Revenue generated]]</f>
        <v>0.98168781569431263</v>
      </c>
      <c r="AB43" s="1">
        <f>1/Table1[[#This Row],[Shipping times]]/Table1[[#This Row],[Lead time]]</f>
        <v>6.9444444444444441E-3</v>
      </c>
    </row>
    <row r="44" spans="1:28"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f>SUM(Table1[[#This Row],[Manufacturing costs]],Table1[[#This Row],[Shipping costs]])</f>
        <v>103.9490689664233</v>
      </c>
      <c r="Z44">
        <f>Table1[[#This Row],[Revenue generated]]-Table1[[#This Row],[Total cost]]</f>
        <v>1735.6603568903367</v>
      </c>
      <c r="AA44">
        <f>Table1[[#This Row],[Estimated profit]]/Table1[[#This Row],[Revenue generated]]</f>
        <v>0.94349394632069183</v>
      </c>
      <c r="AB44" s="1">
        <f>1/Table1[[#This Row],[Shipping times]]/Table1[[#This Row],[Lead time]]</f>
        <v>9.6153846153846159E-3</v>
      </c>
    </row>
    <row r="45" spans="1:28"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f>SUM(Table1[[#This Row],[Manufacturing costs]],Table1[[#This Row],[Shipping costs]])</f>
        <v>29.97138722572085</v>
      </c>
      <c r="Z45">
        <f>Table1[[#This Row],[Revenue generated]]-Table1[[#This Row],[Total cost]]</f>
        <v>5707.4542118932995</v>
      </c>
      <c r="AA45">
        <f>Table1[[#This Row],[Estimated profit]]/Table1[[#This Row],[Revenue generated]]</f>
        <v>0.99477616106597999</v>
      </c>
      <c r="AB45" s="1">
        <f>1/Table1[[#This Row],[Shipping times]]/Table1[[#This Row],[Lead time]]</f>
        <v>0.1111111111111111</v>
      </c>
    </row>
    <row r="46" spans="1:28"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f>SUM(Table1[[#This Row],[Manufacturing costs]],Table1[[#This Row],[Shipping costs]])</f>
        <v>30.131556278264391</v>
      </c>
      <c r="Z46">
        <f>Table1[[#This Row],[Revenue generated]]-Table1[[#This Row],[Total cost]]</f>
        <v>7122.1544931572453</v>
      </c>
      <c r="AA46">
        <f>Table1[[#This Row],[Estimated profit]]/Table1[[#This Row],[Revenue generated]]</f>
        <v>0.99578714328957207</v>
      </c>
      <c r="AB46" s="1">
        <f>1/Table1[[#This Row],[Shipping times]]/Table1[[#This Row],[Lead time]]</f>
        <v>2.3809523809523808E-2</v>
      </c>
    </row>
    <row r="47" spans="1:28"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f>SUM(Table1[[#This Row],[Manufacturing costs]],Table1[[#This Row],[Shipping costs]])</f>
        <v>71.527699448703501</v>
      </c>
      <c r="Z47">
        <f>Table1[[#This Row],[Revenue generated]]-Table1[[#This Row],[Total cost]]</f>
        <v>5196.4291080618168</v>
      </c>
      <c r="AA47">
        <f>Table1[[#This Row],[Estimated profit]]/Table1[[#This Row],[Revenue generated]]</f>
        <v>0.98642211732891849</v>
      </c>
      <c r="AB47" s="1">
        <f>1/Table1[[#This Row],[Shipping times]]/Table1[[#This Row],[Lead time]]</f>
        <v>6.6666666666666662E-3</v>
      </c>
    </row>
    <row r="48" spans="1:28"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f>SUM(Table1[[#This Row],[Manufacturing costs]],Table1[[#This Row],[Shipping costs]])</f>
        <v>81.393309048135691</v>
      </c>
      <c r="Z48">
        <f>Table1[[#This Row],[Revenue generated]]-Table1[[#This Row],[Total cost]]</f>
        <v>2475.3740515854547</v>
      </c>
      <c r="AA48">
        <f>Table1[[#This Row],[Estimated profit]]/Table1[[#This Row],[Revenue generated]]</f>
        <v>0.96816553969620234</v>
      </c>
      <c r="AB48" s="1">
        <f>1/Table1[[#This Row],[Shipping times]]/Table1[[#This Row],[Lead time]]</f>
        <v>6.9444444444444441E-3</v>
      </c>
    </row>
    <row r="49" spans="1:28"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f>SUM(Table1[[#This Row],[Manufacturing costs]],Table1[[#This Row],[Shipping costs]])</f>
        <v>28.691743667243571</v>
      </c>
      <c r="Z49">
        <f>Table1[[#This Row],[Revenue generated]]-Table1[[#This Row],[Total cost]]</f>
        <v>7060.7825062669363</v>
      </c>
      <c r="AA49">
        <f>Table1[[#This Row],[Estimated profit]]/Table1[[#This Row],[Revenue generated]]</f>
        <v>0.99595290953098392</v>
      </c>
      <c r="AB49" s="1">
        <f>1/Table1[[#This Row],[Shipping times]]/Table1[[#This Row],[Lead time]]</f>
        <v>1.111111111111111E-2</v>
      </c>
    </row>
    <row r="50" spans="1:28"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f>SUM(Table1[[#This Row],[Manufacturing costs]],Table1[[#This Row],[Shipping costs]])</f>
        <v>30.222196739019829</v>
      </c>
      <c r="Z50">
        <f>Table1[[#This Row],[Revenue generated]]-Table1[[#This Row],[Total cost]]</f>
        <v>7366.8488078481605</v>
      </c>
      <c r="AA50">
        <f>Table1[[#This Row],[Estimated profit]]/Table1[[#This Row],[Revenue generated]]</f>
        <v>0.9959143021987652</v>
      </c>
      <c r="AB50" s="1">
        <f>1/Table1[[#This Row],[Shipping times]]/Table1[[#This Row],[Lead time]]</f>
        <v>3.7037037037037035E-2</v>
      </c>
    </row>
    <row r="51" spans="1:28"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f>SUM(Table1[[#This Row],[Manufacturing costs]],Table1[[#This Row],[Shipping costs]])</f>
        <v>16.65343647688011</v>
      </c>
      <c r="Z51">
        <f>Table1[[#This Row],[Revenue generated]]-Table1[[#This Row],[Total cost]]</f>
        <v>7984.95977004212</v>
      </c>
      <c r="AA51">
        <f>Table1[[#This Row],[Estimated profit]]/Table1[[#This Row],[Revenue generated]]</f>
        <v>0.99791874012813908</v>
      </c>
      <c r="AB51" s="1">
        <f>1/Table1[[#This Row],[Shipping times]]/Table1[[#This Row],[Lead time]]</f>
        <v>5.9523809523809521E-3</v>
      </c>
    </row>
    <row r="52" spans="1:28"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f>SUM(Table1[[#This Row],[Manufacturing costs]],Table1[[#This Row],[Shipping costs]])</f>
        <v>51.426618839610491</v>
      </c>
      <c r="Z52">
        <f>Table1[[#This Row],[Revenue generated]]-Table1[[#This Row],[Total cost]]</f>
        <v>5859.4587708292793</v>
      </c>
      <c r="AA52">
        <f>Table1[[#This Row],[Estimated profit]]/Table1[[#This Row],[Revenue generated]]</f>
        <v>0.99129967586082879</v>
      </c>
      <c r="AB52" s="1">
        <f>1/Table1[[#This Row],[Shipping times]]/Table1[[#This Row],[Lead time]]</f>
        <v>5.0000000000000001E-3</v>
      </c>
    </row>
    <row r="53" spans="1:28"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f>SUM(Table1[[#This Row],[Manufacturing costs]],Table1[[#This Row],[Shipping costs]])</f>
        <v>18.973328902517562</v>
      </c>
      <c r="Z53">
        <f>Table1[[#This Row],[Revenue generated]]-Table1[[#This Row],[Total cost]]</f>
        <v>9847.4921290771726</v>
      </c>
      <c r="AA53">
        <f>Table1[[#This Row],[Estimated profit]]/Table1[[#This Row],[Revenue generated]]</f>
        <v>0.99807698826055569</v>
      </c>
      <c r="AB53" s="1">
        <f>1/Table1[[#This Row],[Shipping times]]/Table1[[#This Row],[Lead time]]</f>
        <v>5.5555555555555552E-2</v>
      </c>
    </row>
    <row r="54" spans="1:28"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f>SUM(Table1[[#This Row],[Manufacturing costs]],Table1[[#This Row],[Shipping costs]])</f>
        <v>17.797901328366088</v>
      </c>
      <c r="Z54">
        <f>Table1[[#This Row],[Revenue generated]]-Table1[[#This Row],[Total cost]]</f>
        <v>9417.9647075837638</v>
      </c>
      <c r="AA54">
        <f>Table1[[#This Row],[Estimated profit]]/Table1[[#This Row],[Revenue generated]]</f>
        <v>0.99811378241843907</v>
      </c>
      <c r="AB54" s="1">
        <f>1/Table1[[#This Row],[Shipping times]]/Table1[[#This Row],[Lead time]]</f>
        <v>0.1</v>
      </c>
    </row>
    <row r="55" spans="1:28"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f>SUM(Table1[[#This Row],[Manufacturing costs]],Table1[[#This Row],[Shipping costs]])</f>
        <v>84.35754555777379</v>
      </c>
      <c r="Z55">
        <f>Table1[[#This Row],[Revenue generated]]-Table1[[#This Row],[Total cost]]</f>
        <v>8147.9772838680456</v>
      </c>
      <c r="AA55">
        <f>Table1[[#This Row],[Estimated profit]]/Table1[[#This Row],[Revenue generated]]</f>
        <v>0.98975290153939743</v>
      </c>
      <c r="AB55" s="1">
        <f>1/Table1[[#This Row],[Shipping times]]/Table1[[#This Row],[Lead time]]</f>
        <v>0.33333333333333331</v>
      </c>
    </row>
    <row r="56" spans="1:28"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f>SUM(Table1[[#This Row],[Manufacturing costs]],Table1[[#This Row],[Shipping costs]])</f>
        <v>34.491126847110131</v>
      </c>
      <c r="Z56">
        <f>Table1[[#This Row],[Revenue generated]]-Table1[[#This Row],[Total cost]]</f>
        <v>6053.5303530937399</v>
      </c>
      <c r="AA56">
        <f>Table1[[#This Row],[Estimated profit]]/Table1[[#This Row],[Revenue generated]]</f>
        <v>0.9943345917945996</v>
      </c>
      <c r="AB56" s="1">
        <f>1/Table1[[#This Row],[Shipping times]]/Table1[[#This Row],[Lead time]]</f>
        <v>1.282051282051282E-2</v>
      </c>
    </row>
    <row r="57" spans="1:28"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f>SUM(Table1[[#This Row],[Manufacturing costs]],Table1[[#This Row],[Shipping costs]])</f>
        <v>35.337910211647404</v>
      </c>
      <c r="Z57">
        <f>Table1[[#This Row],[Revenue generated]]-Table1[[#This Row],[Total cost]]</f>
        <v>2890.3372600921625</v>
      </c>
      <c r="AA57">
        <f>Table1[[#This Row],[Estimated profit]]/Table1[[#This Row],[Revenue generated]]</f>
        <v>0.98792145123616792</v>
      </c>
      <c r="AB57" s="1">
        <f>1/Table1[[#This Row],[Shipping times]]/Table1[[#This Row],[Lead time]]</f>
        <v>7.4074074074074077E-3</v>
      </c>
    </row>
    <row r="58" spans="1:28"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f>SUM(Table1[[#This Row],[Manufacturing costs]],Table1[[#This Row],[Shipping costs]])</f>
        <v>14.610714286904429</v>
      </c>
      <c r="Z58">
        <f>Table1[[#This Row],[Revenue generated]]-Table1[[#This Row],[Total cost]]</f>
        <v>4752.4097700572256</v>
      </c>
      <c r="AA58">
        <f>Table1[[#This Row],[Estimated profit]]/Table1[[#This Row],[Revenue generated]]</f>
        <v>0.99693504268863775</v>
      </c>
      <c r="AB58" s="1">
        <f>1/Table1[[#This Row],[Shipping times]]/Table1[[#This Row],[Lead time]]</f>
        <v>8.3333333333333332E-3</v>
      </c>
    </row>
    <row r="59" spans="1:28"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f>SUM(Table1[[#This Row],[Manufacturing costs]],Table1[[#This Row],[Shipping costs]])</f>
        <v>76.940181522459966</v>
      </c>
      <c r="Z59">
        <f>Table1[[#This Row],[Revenue generated]]-Table1[[#This Row],[Total cost]]</f>
        <v>1528.92671886994</v>
      </c>
      <c r="AA59">
        <f>Table1[[#This Row],[Estimated profit]]/Table1[[#This Row],[Revenue generated]]</f>
        <v>0.95208807062175616</v>
      </c>
      <c r="AB59" s="1">
        <f>1/Table1[[#This Row],[Shipping times]]/Table1[[#This Row],[Lead time]]</f>
        <v>4.7619047619047616E-2</v>
      </c>
    </row>
    <row r="60" spans="1:28"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f>SUM(Table1[[#This Row],[Manufacturing costs]],Table1[[#This Row],[Shipping costs]])</f>
        <v>69.985853659403489</v>
      </c>
      <c r="Z60">
        <f>Table1[[#This Row],[Revenue generated]]-Table1[[#This Row],[Total cost]]</f>
        <v>1951.1639566776964</v>
      </c>
      <c r="AA60">
        <f>Table1[[#This Row],[Estimated profit]]/Table1[[#This Row],[Revenue generated]]</f>
        <v>0.96537324779120115</v>
      </c>
      <c r="AB60" s="1">
        <f>1/Table1[[#This Row],[Shipping times]]/Table1[[#This Row],[Lead time]]</f>
        <v>7.9365079365079361E-3</v>
      </c>
    </row>
    <row r="61" spans="1:28"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f>SUM(Table1[[#This Row],[Manufacturing costs]],Table1[[#This Row],[Shipping costs]])</f>
        <v>9.1944848403871706</v>
      </c>
      <c r="Z61">
        <f>Table1[[#This Row],[Revenue generated]]-Table1[[#This Row],[Total cost]]</f>
        <v>1052.424038172893</v>
      </c>
      <c r="AA61">
        <f>Table1[[#This Row],[Estimated profit]]/Table1[[#This Row],[Revenue generated]]</f>
        <v>0.99133918197443505</v>
      </c>
      <c r="AB61" s="1">
        <f>1/Table1[[#This Row],[Shipping times]]/Table1[[#This Row],[Lead time]]</f>
        <v>1.2987012987012986E-2</v>
      </c>
    </row>
    <row r="62" spans="1:28"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f>SUM(Table1[[#This Row],[Manufacturing costs]],Table1[[#This Row],[Shipping costs]])</f>
        <v>91.594425973237904</v>
      </c>
      <c r="Z62">
        <f>Table1[[#This Row],[Revenue generated]]-Table1[[#This Row],[Total cost]]</f>
        <v>8772.4899236131914</v>
      </c>
      <c r="AA62">
        <f>Table1[[#This Row],[Estimated profit]]/Table1[[#This Row],[Revenue generated]]</f>
        <v>0.98966679215123754</v>
      </c>
      <c r="AB62" s="1">
        <f>1/Table1[[#This Row],[Shipping times]]/Table1[[#This Row],[Lead time]]</f>
        <v>4.3103448275862068E-3</v>
      </c>
    </row>
    <row r="63" spans="1:28"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f>SUM(Table1[[#This Row],[Manufacturing costs]],Table1[[#This Row],[Shipping costs]])</f>
        <v>87.73273439140084</v>
      </c>
      <c r="Z63">
        <f>Table1[[#This Row],[Revenue generated]]-Table1[[#This Row],[Total cost]]</f>
        <v>6797.8566165048487</v>
      </c>
      <c r="AA63">
        <f>Table1[[#This Row],[Estimated profit]]/Table1[[#This Row],[Revenue generated]]</f>
        <v>0.98725850033737761</v>
      </c>
      <c r="AB63" s="1">
        <f>1/Table1[[#This Row],[Shipping times]]/Table1[[#This Row],[Lead time]]</f>
        <v>1.020408163265306E-2</v>
      </c>
    </row>
    <row r="64" spans="1:28"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f>SUM(Table1[[#This Row],[Manufacturing costs]],Table1[[#This Row],[Shipping costs]])</f>
        <v>28.34034411394537</v>
      </c>
      <c r="Z64">
        <f>Table1[[#This Row],[Revenue generated]]-Table1[[#This Row],[Total cost]]</f>
        <v>3871.4064896152745</v>
      </c>
      <c r="AA64">
        <f>Table1[[#This Row],[Estimated profit]]/Table1[[#This Row],[Revenue generated]]</f>
        <v>0.99273277335112442</v>
      </c>
      <c r="AB64" s="1">
        <f>1/Table1[[#This Row],[Shipping times]]/Table1[[#This Row],[Lead time]]</f>
        <v>1.0989010989010988E-2</v>
      </c>
    </row>
    <row r="65" spans="1:28"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f>SUM(Table1[[#This Row],[Manufacturing costs]],Table1[[#This Row],[Shipping costs]])</f>
        <v>22.532937503617728</v>
      </c>
      <c r="Z65">
        <f>Table1[[#This Row],[Revenue generated]]-Table1[[#This Row],[Total cost]]</f>
        <v>4234.4162033466018</v>
      </c>
      <c r="AA65">
        <f>Table1[[#This Row],[Estimated profit]]/Table1[[#This Row],[Revenue generated]]</f>
        <v>0.99470678724173867</v>
      </c>
      <c r="AB65" s="1">
        <f>1/Table1[[#This Row],[Shipping times]]/Table1[[#This Row],[Lead time]]</f>
        <v>1.3888888888888888E-2</v>
      </c>
    </row>
    <row r="66" spans="1:28"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f>SUM(Table1[[#This Row],[Manufacturing costs]],Table1[[#This Row],[Shipping costs]])</f>
        <v>13.278395894071931</v>
      </c>
      <c r="Z66">
        <f>Table1[[#This Row],[Revenue generated]]-Table1[[#This Row],[Total cost]]</f>
        <v>8445.4524824730979</v>
      </c>
      <c r="AA66">
        <f>Table1[[#This Row],[Estimated profit]]/Table1[[#This Row],[Revenue generated]]</f>
        <v>0.99843021416746669</v>
      </c>
      <c r="AB66" s="1">
        <f>1/Table1[[#This Row],[Shipping times]]/Table1[[#This Row],[Lead time]]</f>
        <v>9.8039215686274508E-3</v>
      </c>
    </row>
    <row r="67" spans="1:28"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f>SUM(Table1[[#This Row],[Manufacturing costs]],Table1[[#This Row],[Shipping costs]])</f>
        <v>8.1777640909352591</v>
      </c>
      <c r="Z67">
        <f>Table1[[#This Row],[Revenue generated]]-Table1[[#This Row],[Total cost]]</f>
        <v>8346.4019223910545</v>
      </c>
      <c r="AA67">
        <f>Table1[[#This Row],[Estimated profit]]/Table1[[#This Row],[Revenue generated]]</f>
        <v>0.99902116391274998</v>
      </c>
      <c r="AB67" s="1">
        <f>1/Table1[[#This Row],[Shipping times]]/Table1[[#This Row],[Lead time]]</f>
        <v>7.8125E-3</v>
      </c>
    </row>
    <row r="68" spans="1:28"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f>SUM(Table1[[#This Row],[Manufacturing costs]],Table1[[#This Row],[Shipping costs]])</f>
        <v>44.300579467081256</v>
      </c>
      <c r="Z68">
        <f>Table1[[#This Row],[Revenue generated]]-Table1[[#This Row],[Total cost]]</f>
        <v>8323.4210385530696</v>
      </c>
      <c r="AA68">
        <f>Table1[[#This Row],[Estimated profit]]/Table1[[#This Row],[Revenue generated]]</f>
        <v>0.99470577757131906</v>
      </c>
      <c r="AB68" s="1">
        <f>1/Table1[[#This Row],[Shipping times]]/Table1[[#This Row],[Lead time]]</f>
        <v>5.208333333333333E-3</v>
      </c>
    </row>
    <row r="69" spans="1:28"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f>SUM(Table1[[#This Row],[Manufacturing costs]],Table1[[#This Row],[Shipping costs]])</f>
        <v>16.205687691688858</v>
      </c>
      <c r="Z69">
        <f>Table1[[#This Row],[Revenue generated]]-Table1[[#This Row],[Total cost]]</f>
        <v>9457.5923448166413</v>
      </c>
      <c r="AA69">
        <f>Table1[[#This Row],[Estimated profit]]/Table1[[#This Row],[Revenue generated]]</f>
        <v>0.99828942018437794</v>
      </c>
      <c r="AB69" s="1">
        <f>1/Table1[[#This Row],[Shipping times]]/Table1[[#This Row],[Lead time]]</f>
        <v>1.111111111111111E-2</v>
      </c>
    </row>
    <row r="70" spans="1:28"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f>SUM(Table1[[#This Row],[Manufacturing costs]],Table1[[#This Row],[Shipping costs]])</f>
        <v>98.307833428347195</v>
      </c>
      <c r="Z70">
        <f>Table1[[#This Row],[Revenue generated]]-Table1[[#This Row],[Total cost]]</f>
        <v>3451.9105993526427</v>
      </c>
      <c r="AA70">
        <f>Table1[[#This Row],[Estimated profit]]/Table1[[#This Row],[Revenue generated]]</f>
        <v>0.9723093563706896</v>
      </c>
      <c r="AB70" s="1">
        <f>1/Table1[[#This Row],[Shipping times]]/Table1[[#This Row],[Lead time]]</f>
        <v>6.25E-2</v>
      </c>
    </row>
    <row r="71" spans="1:28"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f>SUM(Table1[[#This Row],[Manufacturing costs]],Table1[[#This Row],[Shipping costs]])</f>
        <v>87.333052602868435</v>
      </c>
      <c r="Z71">
        <f>Table1[[#This Row],[Revenue generated]]-Table1[[#This Row],[Total cost]]</f>
        <v>1665.0480348812514</v>
      </c>
      <c r="AA71">
        <f>Table1[[#This Row],[Estimated profit]]/Table1[[#This Row],[Revenue generated]]</f>
        <v>0.95016320751997396</v>
      </c>
      <c r="AB71" s="1">
        <f>1/Table1[[#This Row],[Shipping times]]/Table1[[#This Row],[Lead time]]</f>
        <v>3.7037037037037035E-2</v>
      </c>
    </row>
    <row r="72" spans="1:28"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f>SUM(Table1[[#This Row],[Manufacturing costs]],Table1[[#This Row],[Shipping costs]])</f>
        <v>17.756499578361918</v>
      </c>
      <c r="Z72">
        <f>Table1[[#This Row],[Revenue generated]]-Table1[[#This Row],[Total cost]]</f>
        <v>6997.1314876250181</v>
      </c>
      <c r="AA72">
        <f>Table1[[#This Row],[Estimated profit]]/Table1[[#This Row],[Revenue generated]]</f>
        <v>0.99746874082512027</v>
      </c>
      <c r="AB72" s="1">
        <f>1/Table1[[#This Row],[Shipping times]]/Table1[[#This Row],[Lead time]]</f>
        <v>1.1363636363636364E-2</v>
      </c>
    </row>
    <row r="73" spans="1:28"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f>SUM(Table1[[#This Row],[Manufacturing costs]],Table1[[#This Row],[Shipping costs]])</f>
        <v>39.889867794912007</v>
      </c>
      <c r="Z73">
        <f>Table1[[#This Row],[Revenue generated]]-Table1[[#This Row],[Total cost]]</f>
        <v>8140.447217630528</v>
      </c>
      <c r="AA73">
        <f>Table1[[#This Row],[Estimated profit]]/Table1[[#This Row],[Revenue generated]]</f>
        <v>0.99512368899003167</v>
      </c>
      <c r="AB73" s="1">
        <f>1/Table1[[#This Row],[Shipping times]]/Table1[[#This Row],[Lead time]]</f>
        <v>8.3333333333333329E-2</v>
      </c>
    </row>
    <row r="74" spans="1:28"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f>SUM(Table1[[#This Row],[Manufacturing costs]],Table1[[#This Row],[Shipping costs]])</f>
        <v>62.360107054933735</v>
      </c>
      <c r="Z74">
        <f>Table1[[#This Row],[Revenue generated]]-Table1[[#This Row],[Total cost]]</f>
        <v>2570.7618742573159</v>
      </c>
      <c r="AA74">
        <f>Table1[[#This Row],[Estimated profit]]/Table1[[#This Row],[Revenue generated]]</f>
        <v>0.97631704588791746</v>
      </c>
      <c r="AB74" s="1">
        <f>1/Table1[[#This Row],[Shipping times]]/Table1[[#This Row],[Lead time]]</f>
        <v>5.2910052910052907E-3</v>
      </c>
    </row>
    <row r="75" spans="1:28"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f>SUM(Table1[[#This Row],[Manufacturing costs]],Table1[[#This Row],[Shipping costs]])</f>
        <v>48.383175634533167</v>
      </c>
      <c r="Z75">
        <f>Table1[[#This Row],[Revenue generated]]-Table1[[#This Row],[Total cost]]</f>
        <v>7862.5037405061466</v>
      </c>
      <c r="AA75">
        <f>Table1[[#This Row],[Estimated profit]]/Table1[[#This Row],[Revenue generated]]</f>
        <v>0.99388397582377053</v>
      </c>
      <c r="AB75" s="1">
        <f>1/Table1[[#This Row],[Shipping times]]/Table1[[#This Row],[Lead time]]</f>
        <v>1.5384615384615385E-2</v>
      </c>
    </row>
    <row r="76" spans="1:28"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f>SUM(Table1[[#This Row],[Manufacturing costs]],Table1[[#This Row],[Shipping costs]])</f>
        <v>85.818506806485246</v>
      </c>
      <c r="Z76">
        <f>Table1[[#This Row],[Revenue generated]]-Table1[[#This Row],[Total cost]]</f>
        <v>5624.1267891627949</v>
      </c>
      <c r="AA76">
        <f>Table1[[#This Row],[Estimated profit]]/Table1[[#This Row],[Revenue generated]]</f>
        <v>0.98497034518578219</v>
      </c>
      <c r="AB76" s="1">
        <f>1/Table1[[#This Row],[Shipping times]]/Table1[[#This Row],[Lead time]]</f>
        <v>0.2</v>
      </c>
    </row>
    <row r="77" spans="1:28"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f>SUM(Table1[[#This Row],[Manufacturing costs]],Table1[[#This Row],[Shipping costs]])</f>
        <v>50.538680401051955</v>
      </c>
      <c r="Z77">
        <f>Table1[[#This Row],[Revenue generated]]-Table1[[#This Row],[Total cost]]</f>
        <v>1838.5349093782779</v>
      </c>
      <c r="AA77">
        <f>Table1[[#This Row],[Estimated profit]]/Table1[[#This Row],[Revenue generated]]</f>
        <v>0.97324684402212425</v>
      </c>
      <c r="AB77" s="1">
        <f>1/Table1[[#This Row],[Shipping times]]/Table1[[#This Row],[Lead time]]</f>
        <v>4.0000000000000001E-3</v>
      </c>
    </row>
    <row r="78" spans="1:28"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f>SUM(Table1[[#This Row],[Manufacturing costs]],Table1[[#This Row],[Shipping costs]])</f>
        <v>71.378136132437106</v>
      </c>
      <c r="Z78">
        <f>Table1[[#This Row],[Revenue generated]]-Table1[[#This Row],[Total cost]]</f>
        <v>5256.9978481653125</v>
      </c>
      <c r="AA78">
        <f>Table1[[#This Row],[Estimated profit]]/Table1[[#This Row],[Revenue generated]]</f>
        <v>0.98660414799128626</v>
      </c>
      <c r="AB78" s="1">
        <f>1/Table1[[#This Row],[Shipping times]]/Table1[[#This Row],[Lead time]]</f>
        <v>4.0000000000000001E-3</v>
      </c>
    </row>
    <row r="79" spans="1:28"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f>SUM(Table1[[#This Row],[Manufacturing costs]],Table1[[#This Row],[Shipping costs]])</f>
        <v>49.733391374609695</v>
      </c>
      <c r="Z79">
        <f>Table1[[#This Row],[Revenue generated]]-Table1[[#This Row],[Total cost]]</f>
        <v>2434.0267861681805</v>
      </c>
      <c r="AA79">
        <f>Table1[[#This Row],[Estimated profit]]/Table1[[#This Row],[Revenue generated]]</f>
        <v>0.9799765726883457</v>
      </c>
      <c r="AB79" s="1">
        <f>1/Table1[[#This Row],[Shipping times]]/Table1[[#This Row],[Lead time]]</f>
        <v>9.6153846153846159E-3</v>
      </c>
    </row>
    <row r="80" spans="1:28"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f>SUM(Table1[[#This Row],[Manufacturing costs]],Table1[[#This Row],[Shipping costs]])</f>
        <v>79.593564491265298</v>
      </c>
      <c r="Z80">
        <f>Table1[[#This Row],[Revenue generated]]-Table1[[#This Row],[Total cost]]</f>
        <v>1212.8648534464846</v>
      </c>
      <c r="AA80">
        <f>Table1[[#This Row],[Estimated profit]]/Table1[[#This Row],[Revenue generated]]</f>
        <v>0.93841692437713775</v>
      </c>
      <c r="AB80" s="1">
        <f>1/Table1[[#This Row],[Shipping times]]/Table1[[#This Row],[Lead time]]</f>
        <v>8.0000000000000002E-3</v>
      </c>
    </row>
    <row r="81" spans="1:28"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f>SUM(Table1[[#This Row],[Manufacturing costs]],Table1[[#This Row],[Shipping costs]])</f>
        <v>64.367228288331248</v>
      </c>
      <c r="Z81">
        <f>Table1[[#This Row],[Revenue generated]]-Table1[[#This Row],[Total cost]]</f>
        <v>7824.3560401387494</v>
      </c>
      <c r="AA81">
        <f>Table1[[#This Row],[Estimated profit]]/Table1[[#This Row],[Revenue generated]]</f>
        <v>0.99184060257938733</v>
      </c>
      <c r="AB81" s="1">
        <f>1/Table1[[#This Row],[Shipping times]]/Table1[[#This Row],[Lead time]]</f>
        <v>0.2</v>
      </c>
    </row>
    <row r="82" spans="1:28"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f>SUM(Table1[[#This Row],[Manufacturing costs]],Table1[[#This Row],[Shipping costs]])</f>
        <v>79.794412703238976</v>
      </c>
      <c r="Z82">
        <f>Table1[[#This Row],[Revenue generated]]-Table1[[#This Row],[Total cost]]</f>
        <v>8571.8782702788212</v>
      </c>
      <c r="AA82">
        <f>Table1[[#This Row],[Estimated profit]]/Table1[[#This Row],[Revenue generated]]</f>
        <v>0.99077699589118817</v>
      </c>
      <c r="AB82" s="1">
        <f>1/Table1[[#This Row],[Shipping times]]/Table1[[#This Row],[Lead time]]</f>
        <v>6.25E-2</v>
      </c>
    </row>
    <row r="83" spans="1:28"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f>SUM(Table1[[#This Row],[Manufacturing costs]],Table1[[#This Row],[Shipping costs]])</f>
        <v>23.85587044341564</v>
      </c>
      <c r="Z83">
        <f>Table1[[#This Row],[Revenue generated]]-Table1[[#This Row],[Total cost]]</f>
        <v>4360.5575296024444</v>
      </c>
      <c r="AA83">
        <f>Table1[[#This Row],[Estimated profit]]/Table1[[#This Row],[Revenue generated]]</f>
        <v>0.9945589367911416</v>
      </c>
      <c r="AB83" s="1">
        <f>1/Table1[[#This Row],[Shipping times]]/Table1[[#This Row],[Lead time]]</f>
        <v>7.1428571428571435E-3</v>
      </c>
    </row>
    <row r="84" spans="1:28"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f>SUM(Table1[[#This Row],[Manufacturing costs]],Table1[[#This Row],[Shipping costs]])</f>
        <v>9.1734603084851702</v>
      </c>
      <c r="Z84">
        <f>Table1[[#This Row],[Revenue generated]]-Table1[[#This Row],[Total cost]]</f>
        <v>2934.2084073009651</v>
      </c>
      <c r="AA84">
        <f>Table1[[#This Row],[Estimated profit]]/Table1[[#This Row],[Revenue generated]]</f>
        <v>0.99688336046048431</v>
      </c>
      <c r="AB84" s="1">
        <f>1/Table1[[#This Row],[Shipping times]]/Table1[[#This Row],[Lead time]]</f>
        <v>0.16666666666666666</v>
      </c>
    </row>
    <row r="85" spans="1:28"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f>SUM(Table1[[#This Row],[Manufacturing costs]],Table1[[#This Row],[Shipping costs]])</f>
        <v>102.68043337852994</v>
      </c>
      <c r="Z85">
        <f>Table1[[#This Row],[Revenue generated]]-Table1[[#This Row],[Total cost]]</f>
        <v>2309.0741987319602</v>
      </c>
      <c r="AA85">
        <f>Table1[[#This Row],[Estimated profit]]/Table1[[#This Row],[Revenue generated]]</f>
        <v>0.95742500832737043</v>
      </c>
      <c r="AB85" s="1">
        <f>1/Table1[[#This Row],[Shipping times]]/Table1[[#This Row],[Lead time]]</f>
        <v>6.2500000000000003E-3</v>
      </c>
    </row>
    <row r="86" spans="1:28"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f>SUM(Table1[[#This Row],[Manufacturing costs]],Table1[[#This Row],[Shipping costs]])</f>
        <v>42.190252138131633</v>
      </c>
      <c r="Z86">
        <f>Table1[[#This Row],[Revenue generated]]-Table1[[#This Row],[Total cost]]</f>
        <v>2006.0998477105782</v>
      </c>
      <c r="AA86">
        <f>Table1[[#This Row],[Estimated profit]]/Table1[[#This Row],[Revenue generated]]</f>
        <v>0.97940220863184957</v>
      </c>
      <c r="AB86" s="1">
        <f>1/Table1[[#This Row],[Shipping times]]/Table1[[#This Row],[Lead time]]</f>
        <v>4.1666666666666666E-3</v>
      </c>
    </row>
    <row r="87" spans="1:28"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f>SUM(Table1[[#This Row],[Manufacturing costs]],Table1[[#This Row],[Shipping costs]])</f>
        <v>78.178514223544028</v>
      </c>
      <c r="Z87">
        <f>Table1[[#This Row],[Revenue generated]]-Table1[[#This Row],[Total cost]]</f>
        <v>8606.4345450303063</v>
      </c>
      <c r="AA87">
        <f>Table1[[#This Row],[Estimated profit]]/Table1[[#This Row],[Revenue generated]]</f>
        <v>0.99099804289608029</v>
      </c>
      <c r="AB87" s="1">
        <f>1/Table1[[#This Row],[Shipping times]]/Table1[[#This Row],[Lead time]]</f>
        <v>0.125</v>
      </c>
    </row>
    <row r="88" spans="1:28"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f>SUM(Table1[[#This Row],[Manufacturing costs]],Table1[[#This Row],[Shipping costs]])</f>
        <v>76.063275305348142</v>
      </c>
      <c r="Z88">
        <f>Table1[[#This Row],[Revenue generated]]-Table1[[#This Row],[Total cost]]</f>
        <v>1153.5277532596319</v>
      </c>
      <c r="AA88">
        <f>Table1[[#This Row],[Estimated profit]]/Table1[[#This Row],[Revenue generated]]</f>
        <v>0.93813937029605743</v>
      </c>
      <c r="AB88" s="1">
        <f>1/Table1[[#This Row],[Shipping times]]/Table1[[#This Row],[Lead time]]</f>
        <v>4.1666666666666664E-2</v>
      </c>
    </row>
    <row r="89" spans="1:28"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f>SUM(Table1[[#This Row],[Manufacturing costs]],Table1[[#This Row],[Shipping costs]])</f>
        <v>35.27280062169163</v>
      </c>
      <c r="Z89">
        <f>Table1[[#This Row],[Revenue generated]]-Table1[[#This Row],[Total cost]]</f>
        <v>5098.5739004649986</v>
      </c>
      <c r="AA89">
        <f>Table1[[#This Row],[Estimated profit]]/Table1[[#This Row],[Revenue generated]]</f>
        <v>0.99312936231340432</v>
      </c>
      <c r="AB89" s="1">
        <f>1/Table1[[#This Row],[Shipping times]]/Table1[[#This Row],[Lead time]]</f>
        <v>3.7037037037037038E-3</v>
      </c>
    </row>
    <row r="90" spans="1:28"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f>SUM(Table1[[#This Row],[Manufacturing costs]],Table1[[#This Row],[Shipping costs]])</f>
        <v>71.986172189972166</v>
      </c>
      <c r="Z90">
        <f>Table1[[#This Row],[Revenue generated]]-Table1[[#This Row],[Total cost]]</f>
        <v>9372.7558608730069</v>
      </c>
      <c r="AA90">
        <f>Table1[[#This Row],[Estimated profit]]/Table1[[#This Row],[Revenue generated]]</f>
        <v>0.99237817486830537</v>
      </c>
      <c r="AB90" s="1">
        <f>1/Table1[[#This Row],[Shipping times]]/Table1[[#This Row],[Lead time]]</f>
        <v>6.8027210884353739E-3</v>
      </c>
    </row>
    <row r="91" spans="1:28"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f>SUM(Table1[[#This Row],[Manufacturing costs]],Table1[[#This Row],[Shipping costs]])</f>
        <v>56.53368962692165</v>
      </c>
      <c r="Z91">
        <f>Table1[[#This Row],[Revenue generated]]-Table1[[#This Row],[Total cost]]</f>
        <v>5868.1488772263083</v>
      </c>
      <c r="AA91">
        <f>Table1[[#This Row],[Estimated profit]]/Table1[[#This Row],[Revenue generated]]</f>
        <v>0.9904579377900834</v>
      </c>
      <c r="AB91" s="1">
        <f>1/Table1[[#This Row],[Shipping times]]/Table1[[#This Row],[Lead time]]</f>
        <v>5.434782608695652E-3</v>
      </c>
    </row>
    <row r="92" spans="1:28"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f>SUM(Table1[[#This Row],[Manufacturing costs]],Table1[[#This Row],[Shipping costs]])</f>
        <v>93.350394043910597</v>
      </c>
      <c r="Z92">
        <f>Table1[[#This Row],[Revenue generated]]-Table1[[#This Row],[Total cost]]</f>
        <v>9499.2831762363985</v>
      </c>
      <c r="AA92">
        <f>Table1[[#This Row],[Estimated profit]]/Table1[[#This Row],[Revenue generated]]</f>
        <v>0.99026853331152698</v>
      </c>
      <c r="AB92" s="1">
        <f>1/Table1[[#This Row],[Shipping times]]/Table1[[#This Row],[Lead time]]</f>
        <v>1.7857142857142856E-2</v>
      </c>
    </row>
    <row r="93" spans="1:28"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f>SUM(Table1[[#This Row],[Manufacturing costs]],Table1[[#This Row],[Shipping costs]])</f>
        <v>47.24439658674104</v>
      </c>
      <c r="Z93">
        <f>Table1[[#This Row],[Revenue generated]]-Table1[[#This Row],[Total cost]]</f>
        <v>1887.962396920849</v>
      </c>
      <c r="AA93">
        <f>Table1[[#This Row],[Estimated profit]]/Table1[[#This Row],[Revenue generated]]</f>
        <v>0.97558690019834526</v>
      </c>
      <c r="AB93" s="1">
        <f>1/Table1[[#This Row],[Shipping times]]/Table1[[#This Row],[Lead time]]</f>
        <v>2.8571428571428571E-2</v>
      </c>
    </row>
    <row r="94" spans="1:28"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f>SUM(Table1[[#This Row],[Manufacturing costs]],Table1[[#This Row],[Shipping costs]])</f>
        <v>67.082190421737906</v>
      </c>
      <c r="Z94">
        <f>Table1[[#This Row],[Revenue generated]]-Table1[[#This Row],[Total cost]]</f>
        <v>2033.0475642041922</v>
      </c>
      <c r="AA94">
        <f>Table1[[#This Row],[Estimated profit]]/Table1[[#This Row],[Revenue generated]]</f>
        <v>0.96805807342428396</v>
      </c>
      <c r="AB94" s="1">
        <f>1/Table1[[#This Row],[Shipping times]]/Table1[[#This Row],[Lead time]]</f>
        <v>3.125E-2</v>
      </c>
    </row>
    <row r="95" spans="1:28"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f>SUM(Table1[[#This Row],[Manufacturing costs]],Table1[[#This Row],[Shipping costs]])</f>
        <v>42.640084402348187</v>
      </c>
      <c r="Z95">
        <f>Table1[[#This Row],[Revenue generated]]-Table1[[#This Row],[Total cost]]</f>
        <v>4488.7620492895521</v>
      </c>
      <c r="AA95">
        <f>Table1[[#This Row],[Estimated profit]]/Table1[[#This Row],[Revenue generated]]</f>
        <v>0.99059009040815194</v>
      </c>
      <c r="AB95" s="1">
        <f>1/Table1[[#This Row],[Shipping times]]/Table1[[#This Row],[Lead time]]</f>
        <v>4.7619047619047616E-2</v>
      </c>
    </row>
    <row r="96" spans="1:28"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f>SUM(Table1[[#This Row],[Manufacturing costs]],Table1[[#This Row],[Shipping costs]])</f>
        <v>67.330324556894681</v>
      </c>
      <c r="Z96">
        <f>Table1[[#This Row],[Revenue generated]]-Table1[[#This Row],[Total cost]]</f>
        <v>7821.0262221049752</v>
      </c>
      <c r="AA96">
        <f>Table1[[#This Row],[Estimated profit]]/Table1[[#This Row],[Revenue generated]]</f>
        <v>0.99146459415739929</v>
      </c>
      <c r="AB96" s="1">
        <f>1/Table1[[#This Row],[Shipping times]]/Table1[[#This Row],[Lead time]]</f>
        <v>9.2592592592592587E-3</v>
      </c>
    </row>
    <row r="97" spans="1:28"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f>SUM(Table1[[#This Row],[Manufacturing costs]],Table1[[#This Row],[Shipping costs]])</f>
        <v>67.521024638192642</v>
      </c>
      <c r="Z97">
        <f>Table1[[#This Row],[Revenue generated]]-Table1[[#This Row],[Total cost]]</f>
        <v>7318.8429194104674</v>
      </c>
      <c r="AA97">
        <f>Table1[[#This Row],[Estimated profit]]/Table1[[#This Row],[Revenue generated]]</f>
        <v>0.99085869242977176</v>
      </c>
      <c r="AB97" s="1">
        <f>1/Table1[[#This Row],[Shipping times]]/Table1[[#This Row],[Lead time]]</f>
        <v>6.1728395061728392E-3</v>
      </c>
    </row>
    <row r="98" spans="1:28"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f>SUM(Table1[[#This Row],[Manufacturing costs]],Table1[[#This Row],[Shipping costs]])</f>
        <v>23.156634375387998</v>
      </c>
      <c r="Z98">
        <f>Table1[[#This Row],[Revenue generated]]-Table1[[#This Row],[Total cost]]</f>
        <v>7675.268131256722</v>
      </c>
      <c r="AA98">
        <f>Table1[[#This Row],[Estimated profit]]/Table1[[#This Row],[Revenue generated]]</f>
        <v>0.99699202952807098</v>
      </c>
      <c r="AB98" s="1">
        <f>1/Table1[[#This Row],[Shipping times]]/Table1[[#This Row],[Lead time]]</f>
        <v>1.1904761904761904E-2</v>
      </c>
    </row>
    <row r="99" spans="1:28"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f>SUM(Table1[[#This Row],[Manufacturing costs]],Table1[[#This Row],[Shipping costs]])</f>
        <v>73.670001537577065</v>
      </c>
      <c r="Z99">
        <f>Table1[[#This Row],[Revenue generated]]-Table1[[#This Row],[Total cost]]</f>
        <v>4297.2465784469523</v>
      </c>
      <c r="AA99">
        <f>Table1[[#This Row],[Estimated profit]]/Table1[[#This Row],[Revenue generated]]</f>
        <v>0.98314541122222976</v>
      </c>
      <c r="AB99" s="1">
        <f>1/Table1[[#This Row],[Shipping times]]/Table1[[#This Row],[Lead time]]</f>
        <v>1.111111111111111E-2</v>
      </c>
    </row>
    <row r="100" spans="1:28"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f>SUM(Table1[[#This Row],[Manufacturing costs]],Table1[[#This Row],[Shipping costs]])</f>
        <v>7.0144919595098498</v>
      </c>
      <c r="Z100">
        <f>Table1[[#This Row],[Revenue generated]]-Table1[[#This Row],[Total cost]]</f>
        <v>8518.9380677240097</v>
      </c>
      <c r="AA100">
        <f>Table1[[#This Row],[Estimated profit]]/Table1[[#This Row],[Revenue generated]]</f>
        <v>0.99917727762259911</v>
      </c>
      <c r="AB100" s="1">
        <f>1/Table1[[#This Row],[Shipping times]]/Table1[[#This Row],[Lead time]]</f>
        <v>5.1020408163265302E-3</v>
      </c>
    </row>
    <row r="101" spans="1:28"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f>SUM(Table1[[#This Row],[Manufacturing costs]],Table1[[#This Row],[Shipping costs]])</f>
        <v>39.383922276746617</v>
      </c>
      <c r="Z101">
        <f>Table1[[#This Row],[Revenue generated]]-Table1[[#This Row],[Total cost]]</f>
        <v>9145.8019069049533</v>
      </c>
      <c r="AA101">
        <f>Table1[[#This Row],[Estimated profit]]/Table1[[#This Row],[Revenue generated]]</f>
        <v>0.99571223456888336</v>
      </c>
      <c r="AB101" s="1">
        <f>1/Table1[[#This Row],[Shipping times]]/Table1[[#This Row],[Lead time]]</f>
        <v>5.7471264367816091E-3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3AED-C821-4BB8-A1D0-D74F4D5E9795}">
  <dimension ref="A1:I30"/>
  <sheetViews>
    <sheetView zoomScale="56" workbookViewId="0">
      <selection activeCell="U33" sqref="U33"/>
    </sheetView>
  </sheetViews>
  <sheetFormatPr defaultRowHeight="14.4" x14ac:dyDescent="0.3"/>
  <cols>
    <col min="1" max="1" width="14.88671875" bestFit="1" customWidth="1"/>
    <col min="2" max="2" width="24.21875" bestFit="1" customWidth="1"/>
    <col min="3" max="3" width="21.109375" bestFit="1" customWidth="1"/>
    <col min="4" max="4" width="16.21875" bestFit="1" customWidth="1"/>
    <col min="5" max="5" width="21.33203125" bestFit="1" customWidth="1"/>
    <col min="8" max="8" width="13.88671875" bestFit="1" customWidth="1"/>
    <col min="9" max="9" width="23.5546875" bestFit="1" customWidth="1"/>
    <col min="10" max="10" width="12.5546875" bestFit="1" customWidth="1"/>
    <col min="11" max="11" width="17.6640625" bestFit="1" customWidth="1"/>
  </cols>
  <sheetData>
    <row r="1" spans="1:9" ht="18" x14ac:dyDescent="0.35">
      <c r="D1" s="5" t="s">
        <v>163</v>
      </c>
      <c r="H1" s="6" t="s">
        <v>164</v>
      </c>
      <c r="I1" s="12"/>
    </row>
    <row r="2" spans="1:9" x14ac:dyDescent="0.3">
      <c r="D2" s="2" t="s">
        <v>161</v>
      </c>
      <c r="E2" t="s">
        <v>162</v>
      </c>
      <c r="H2" s="2" t="s">
        <v>158</v>
      </c>
      <c r="I2" t="s">
        <v>165</v>
      </c>
    </row>
    <row r="3" spans="1:9" x14ac:dyDescent="0.3">
      <c r="A3" s="2" t="s">
        <v>0</v>
      </c>
      <c r="B3" t="s">
        <v>160</v>
      </c>
      <c r="D3" s="3" t="s">
        <v>39</v>
      </c>
      <c r="E3" s="1">
        <v>1.8036297116882485</v>
      </c>
      <c r="H3" s="3" t="s">
        <v>40</v>
      </c>
      <c r="I3" s="1">
        <v>5.115384615384615</v>
      </c>
    </row>
    <row r="4" spans="1:9" x14ac:dyDescent="0.3">
      <c r="A4" s="3" t="s">
        <v>57</v>
      </c>
      <c r="B4" s="1">
        <v>161521.26599948306</v>
      </c>
      <c r="D4" s="3" t="s">
        <v>61</v>
      </c>
      <c r="E4" s="1">
        <v>2.3627501450718764</v>
      </c>
      <c r="H4" s="3" t="s">
        <v>47</v>
      </c>
      <c r="I4" s="1">
        <v>6.5714285714285712</v>
      </c>
    </row>
    <row r="5" spans="1:9" x14ac:dyDescent="0.3">
      <c r="A5" s="3" t="s">
        <v>24</v>
      </c>
      <c r="B5" s="1">
        <v>174455.39060546222</v>
      </c>
      <c r="D5" s="3" t="s">
        <v>28</v>
      </c>
      <c r="E5" s="1">
        <v>2.4657860307644657</v>
      </c>
      <c r="H5" s="3" t="s">
        <v>31</v>
      </c>
      <c r="I5" s="1">
        <v>4.7241379310344831</v>
      </c>
    </row>
    <row r="6" spans="1:9" x14ac:dyDescent="0.3">
      <c r="A6" s="3" t="s">
        <v>33</v>
      </c>
      <c r="B6" s="1">
        <v>241628.16213306302</v>
      </c>
      <c r="D6" s="3" t="s">
        <v>52</v>
      </c>
      <c r="E6" s="1">
        <v>2.3373974005913354</v>
      </c>
      <c r="H6" s="3" t="s">
        <v>56</v>
      </c>
      <c r="I6" s="1">
        <v>7.117647058823529</v>
      </c>
    </row>
    <row r="7" spans="1:9" x14ac:dyDescent="0.3">
      <c r="A7" s="3" t="s">
        <v>159</v>
      </c>
      <c r="B7" s="1">
        <v>577604.81873800838</v>
      </c>
      <c r="D7" s="3" t="s">
        <v>44</v>
      </c>
      <c r="E7" s="1">
        <v>2.6654083441491982</v>
      </c>
      <c r="H7" s="3" t="s">
        <v>159</v>
      </c>
      <c r="I7" s="1">
        <v>5.75</v>
      </c>
    </row>
    <row r="8" spans="1:9" x14ac:dyDescent="0.3">
      <c r="D8" s="3" t="s">
        <v>159</v>
      </c>
      <c r="E8" s="1">
        <v>2.2771579927396055</v>
      </c>
    </row>
    <row r="24" spans="2:5" ht="18" x14ac:dyDescent="0.35">
      <c r="C24" s="6" t="s">
        <v>167</v>
      </c>
    </row>
    <row r="26" spans="2:5" ht="18" x14ac:dyDescent="0.35">
      <c r="B26" s="2" t="s">
        <v>158</v>
      </c>
      <c r="C26" t="s">
        <v>166</v>
      </c>
      <c r="E26" s="6"/>
    </row>
    <row r="27" spans="2:5" x14ac:dyDescent="0.3">
      <c r="B27" s="3" t="s">
        <v>57</v>
      </c>
      <c r="C27" s="1">
        <v>160244.3310839824</v>
      </c>
    </row>
    <row r="28" spans="2:5" x14ac:dyDescent="0.3">
      <c r="B28" s="3" t="s">
        <v>24</v>
      </c>
      <c r="C28" s="1">
        <v>172606.95509456517</v>
      </c>
    </row>
    <row r="29" spans="2:5" x14ac:dyDescent="0.3">
      <c r="B29" s="3" t="s">
        <v>33</v>
      </c>
      <c r="C29" s="1">
        <v>239472.04832811165</v>
      </c>
    </row>
    <row r="30" spans="2:5" x14ac:dyDescent="0.3">
      <c r="B30" s="3" t="s">
        <v>159</v>
      </c>
      <c r="C30" s="1">
        <v>572323.33450665919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9904-BEA3-44BB-8946-85A76596DA5A}">
  <dimension ref="A1:Z41"/>
  <sheetViews>
    <sheetView tabSelected="1" zoomScale="92" workbookViewId="0">
      <selection activeCell="V18" sqref="V18"/>
    </sheetView>
  </sheetViews>
  <sheetFormatPr defaultRowHeight="14.4" x14ac:dyDescent="0.3"/>
  <cols>
    <col min="2" max="2" width="13.21875" customWidth="1"/>
    <col min="4" max="4" width="13.88671875" customWidth="1"/>
    <col min="7" max="7" width="14.88671875" customWidth="1"/>
    <col min="9" max="9" width="14.5546875" customWidth="1"/>
    <col min="15" max="15" width="15.6640625" customWidth="1"/>
  </cols>
  <sheetData>
    <row r="1" spans="1:21" ht="33.6" x14ac:dyDescent="0.3">
      <c r="A1" s="11" t="s">
        <v>168</v>
      </c>
      <c r="B1" s="11"/>
      <c r="C1" s="11"/>
      <c r="D1" s="11"/>
      <c r="E1" s="11"/>
      <c r="F1" s="11"/>
      <c r="G1" s="11"/>
      <c r="H1" s="11"/>
    </row>
    <row r="3" spans="1:21" ht="21" x14ac:dyDescent="0.4">
      <c r="B3" s="9" t="s">
        <v>169</v>
      </c>
      <c r="D3" s="4"/>
      <c r="F3" s="9"/>
      <c r="I3" s="9" t="s">
        <v>170</v>
      </c>
      <c r="O3" s="9" t="s">
        <v>171</v>
      </c>
    </row>
    <row r="4" spans="1:21" ht="21" x14ac:dyDescent="0.4">
      <c r="B4" s="10">
        <f>SUM(Table1[Revenue generated])</f>
        <v>577604.81873800792</v>
      </c>
      <c r="F4" s="10"/>
      <c r="I4" s="10">
        <f>AVERAGE('cleaned data'!Z:Z)</f>
        <v>5723.2333450665919</v>
      </c>
      <c r="O4" s="10">
        <f>AVERAGE('cleaned data'!S:S)</f>
        <v>47.266693241469866</v>
      </c>
    </row>
    <row r="5" spans="1:21" ht="23.4" x14ac:dyDescent="0.45">
      <c r="Q5" s="7"/>
      <c r="R5" s="8"/>
      <c r="S5" s="8"/>
      <c r="T5" s="8"/>
      <c r="U5" s="8"/>
    </row>
    <row r="6" spans="1:21" x14ac:dyDescent="0.3">
      <c r="Q6" s="8"/>
      <c r="R6" s="8"/>
      <c r="S6" s="8"/>
      <c r="T6" s="8"/>
      <c r="U6" s="8"/>
    </row>
    <row r="7" spans="1:21" x14ac:dyDescent="0.3">
      <c r="Q7" s="8"/>
      <c r="R7" s="8"/>
      <c r="S7" s="8"/>
      <c r="T7" s="8"/>
      <c r="U7" s="8"/>
    </row>
    <row r="8" spans="1:21" x14ac:dyDescent="0.3">
      <c r="Q8" s="8"/>
      <c r="R8" s="8"/>
      <c r="S8" s="8"/>
      <c r="T8" s="8"/>
      <c r="U8" s="8"/>
    </row>
    <row r="9" spans="1:21" x14ac:dyDescent="0.3">
      <c r="Q9" s="8"/>
      <c r="R9" s="8"/>
      <c r="S9" s="8"/>
      <c r="T9" s="8"/>
      <c r="U9" s="8"/>
    </row>
    <row r="10" spans="1:21" x14ac:dyDescent="0.3">
      <c r="Q10" s="8"/>
      <c r="R10" s="8"/>
      <c r="S10" s="8"/>
      <c r="T10" s="8"/>
      <c r="U10" s="8"/>
    </row>
    <row r="11" spans="1:21" x14ac:dyDescent="0.3">
      <c r="Q11" s="8"/>
      <c r="R11" s="8"/>
      <c r="S11" s="8"/>
      <c r="T11" s="8"/>
      <c r="U11" s="8"/>
    </row>
    <row r="12" spans="1:21" x14ac:dyDescent="0.3">
      <c r="Q12" s="8"/>
      <c r="R12" s="8"/>
      <c r="S12" s="8"/>
      <c r="T12" s="8"/>
      <c r="U12" s="8"/>
    </row>
    <row r="18" spans="18:26" x14ac:dyDescent="0.3">
      <c r="T18" s="8"/>
    </row>
    <row r="23" spans="18:26" ht="23.4" x14ac:dyDescent="0.45">
      <c r="R23" s="7"/>
      <c r="S23" s="8"/>
      <c r="T23" s="8"/>
      <c r="U23" s="8"/>
      <c r="V23" s="8"/>
    </row>
    <row r="24" spans="18:26" x14ac:dyDescent="0.3">
      <c r="R24" s="8"/>
      <c r="S24" s="8"/>
      <c r="T24" s="8"/>
      <c r="U24" s="8"/>
      <c r="V24" s="8"/>
      <c r="W24" s="8"/>
      <c r="X24" s="8"/>
      <c r="Y24" s="8"/>
      <c r="Z24" s="8"/>
    </row>
    <row r="25" spans="18:26" x14ac:dyDescent="0.3">
      <c r="R25" s="8"/>
      <c r="S25" s="8"/>
      <c r="T25" s="8"/>
      <c r="U25" s="8"/>
      <c r="V25" s="8"/>
      <c r="W25" s="8"/>
      <c r="X25" s="8"/>
      <c r="Y25" s="8"/>
      <c r="Z25" s="8"/>
    </row>
    <row r="26" spans="18:26" x14ac:dyDescent="0.3">
      <c r="R26" s="8"/>
      <c r="S26" s="8"/>
      <c r="T26" s="8"/>
      <c r="U26" s="8"/>
      <c r="V26" s="8"/>
      <c r="W26" s="8"/>
      <c r="X26" s="8"/>
      <c r="Y26" s="8"/>
      <c r="Z26" s="8"/>
    </row>
    <row r="27" spans="18:26" x14ac:dyDescent="0.3">
      <c r="R27" s="8"/>
      <c r="S27" s="8"/>
      <c r="T27" s="8"/>
      <c r="U27" s="8"/>
      <c r="V27" s="8"/>
      <c r="W27" s="8"/>
      <c r="X27" s="8"/>
      <c r="Y27" s="8"/>
      <c r="Z27" s="8"/>
    </row>
    <row r="28" spans="18:26" x14ac:dyDescent="0.3">
      <c r="R28" s="8"/>
      <c r="S28" s="8"/>
      <c r="T28" s="8"/>
      <c r="U28" s="8"/>
      <c r="V28" s="8"/>
      <c r="W28" s="8"/>
      <c r="X28" s="8"/>
      <c r="Y28" s="8"/>
      <c r="Z28" s="8"/>
    </row>
    <row r="29" spans="18:26" x14ac:dyDescent="0.3">
      <c r="R29" s="8"/>
      <c r="S29" s="8"/>
      <c r="T29" s="8"/>
      <c r="U29" s="8"/>
      <c r="V29" s="8"/>
      <c r="W29" s="8"/>
      <c r="X29" s="8"/>
      <c r="Y29" s="8"/>
      <c r="Z29" s="8"/>
    </row>
    <row r="30" spans="18:26" x14ac:dyDescent="0.3">
      <c r="R30" s="8"/>
      <c r="S30" s="8"/>
      <c r="T30" s="8"/>
      <c r="U30" s="8"/>
      <c r="V30" s="8"/>
      <c r="W30" s="8"/>
      <c r="X30" s="8"/>
      <c r="Y30" s="8"/>
      <c r="Z30" s="8"/>
    </row>
    <row r="31" spans="18:26" x14ac:dyDescent="0.3">
      <c r="W31" s="8"/>
      <c r="X31" s="8"/>
      <c r="Y31" s="8"/>
      <c r="Z31" s="8"/>
    </row>
    <row r="34" spans="3:8" ht="23.4" x14ac:dyDescent="0.45">
      <c r="D34" s="7"/>
      <c r="E34" s="8"/>
      <c r="F34" s="8"/>
      <c r="G34" s="8"/>
      <c r="H34" s="8"/>
    </row>
    <row r="35" spans="3:8" x14ac:dyDescent="0.3">
      <c r="D35" s="8"/>
      <c r="E35" s="8"/>
      <c r="F35" s="8"/>
      <c r="G35" s="8"/>
      <c r="H35" s="8"/>
    </row>
    <row r="36" spans="3:8" x14ac:dyDescent="0.3">
      <c r="D36" s="8"/>
      <c r="E36" s="8"/>
      <c r="F36" s="8"/>
      <c r="G36" s="8"/>
      <c r="H36" s="8"/>
    </row>
    <row r="37" spans="3:8" x14ac:dyDescent="0.3">
      <c r="D37" s="8"/>
      <c r="E37" s="8"/>
      <c r="F37" s="8"/>
      <c r="G37" s="8"/>
      <c r="H37" s="8"/>
    </row>
    <row r="38" spans="3:8" x14ac:dyDescent="0.3">
      <c r="D38" s="8"/>
      <c r="E38" s="8"/>
      <c r="F38" s="8"/>
      <c r="G38" s="8"/>
      <c r="H38" s="8"/>
    </row>
    <row r="39" spans="3:8" x14ac:dyDescent="0.3">
      <c r="D39" s="8"/>
      <c r="E39" s="8"/>
      <c r="F39" s="8"/>
      <c r="G39" s="8"/>
      <c r="H39" s="8"/>
    </row>
    <row r="40" spans="3:8" x14ac:dyDescent="0.3">
      <c r="D40" s="8"/>
      <c r="E40" s="8"/>
      <c r="F40" s="8"/>
      <c r="G40" s="8"/>
      <c r="H40" s="8"/>
    </row>
    <row r="41" spans="3:8" x14ac:dyDescent="0.3">
      <c r="C41" s="8"/>
      <c r="D41" s="8"/>
      <c r="E41" s="8"/>
      <c r="F41" s="8"/>
      <c r="G41" s="8"/>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cleaned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GANGA A S</dc:creator>
  <cp:lastModifiedBy>GANGA A S</cp:lastModifiedBy>
  <dcterms:created xsi:type="dcterms:W3CDTF">2026-04-28T05:19:11Z</dcterms:created>
  <dcterms:modified xsi:type="dcterms:W3CDTF">2026-04-28T08:26:26Z</dcterms:modified>
</cp:coreProperties>
</file>